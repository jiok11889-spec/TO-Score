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입금현황" sheetId="1" state="visible" r:id="rId1"/>
    <sheet xmlns:r="http://schemas.openxmlformats.org/officeDocument/2006/relationships" name="회비입출내역" sheetId="2" state="visible" r:id="rId2"/>
    <sheet xmlns:r="http://schemas.openxmlformats.org/officeDocument/2006/relationships" name="원장" sheetId="3" state="visible" r:id="rId3"/>
    <sheet xmlns:r="http://schemas.openxmlformats.org/officeDocument/2006/relationships" name="증감분석" sheetId="4" state="visible" r:id="rId4"/>
    <sheet xmlns:r="http://schemas.openxmlformats.org/officeDocument/2006/relationships" name="증감분석차트" sheetId="5" state="visible" r:id="rId5"/>
    <sheet xmlns:r="http://schemas.openxmlformats.org/officeDocument/2006/relationships" name="참고" sheetId="6" state="visible" r:id="rId6"/>
    <sheet xmlns:r="http://schemas.openxmlformats.org/officeDocument/2006/relationships" name="주요정보" sheetId="7" state="visible" r:id="rId7"/>
    <sheet xmlns:r="http://schemas.openxmlformats.org/officeDocument/2006/relationships"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yyyy\-mm\-dd\ h:mm:ss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0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5" fontId="0" fillId="0" borderId="0" pivotButton="0" quotePrefix="0" xfId="0"/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5" fontId="0" fillId="0" borderId="0" pivotButton="0" quotePrefix="0" xfId="0"/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4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right" vertical="center"/>
    </xf>
    <xf numFmtId="164" fontId="2" fillId="4" borderId="2" applyAlignment="1" pivotButton="0" quotePrefix="0" xfId="0">
      <alignment horizontal="right" vertical="center"/>
    </xf>
    <xf numFmtId="14" fontId="2" fillId="6" borderId="2" applyAlignment="1" pivotButton="0" quotePrefix="0" xfId="0">
      <alignment horizontal="left" vertical="center"/>
    </xf>
  </cellXfs>
  <cellStyles count="2">
    <cellStyle name="표준" xfId="0" builtinId="0"/>
    <cellStyle name="표준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xmlns:a="http://schemas.openxmlformats.org/drawingml/2006/main"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zoomScaleNormal="100" workbookViewId="0">
      <pane xSplit="1" ySplit="1" topLeftCell="B8" activePane="bottomRight" state="frozen"/>
      <selection pane="topRight" activeCell="B1" sqref="B1"/>
      <selection pane="bottomLeft" activeCell="A3" sqref="A3"/>
      <selection pane="bottomRight" activeCell="F28" sqref="F28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>
        <v>20000</v>
      </c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>
        <v>20000</v>
      </c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>
        <v>20000</v>
      </c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>
        <v>20000</v>
      </c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유지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>
        <v>40000</v>
      </c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>
        <v>20000</v>
      </c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>
        <v>20000</v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>
        <v>20000</v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>
        <v>20000</v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유지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/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>
        <v>20000</v>
      </c>
      <c r="G23" s="103" t="n"/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20000</v>
      </c>
      <c r="F24" s="103" t="n"/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>
        <v>20000</v>
      </c>
      <c r="G25" s="103" t="n"/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/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>
        <v>20000</v>
      </c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유지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>
        <v>20000</v>
      </c>
      <c r="G29" s="103" t="n"/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>
        <v>20000</v>
      </c>
      <c r="G30" s="103" t="n"/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/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20000</v>
      </c>
      <c r="F32" s="103" t="n">
        <v>20000</v>
      </c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99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>
        <v>20000</v>
      </c>
      <c r="G34" s="103" t="n"/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유지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/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>
        <v>20000</v>
      </c>
      <c r="G37" s="103" t="n"/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>
        <v>20000</v>
      </c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>
        <v>20000</v>
      </c>
      <c r="G40" s="103" t="n"/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20000</v>
      </c>
      <c r="F41" s="103" t="n"/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>
        <v>20000</v>
      </c>
      <c r="G42" s="103" t="n"/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>
        <v>20000</v>
      </c>
      <c r="G43" s="103" t="n"/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34.5" customHeight="1" s="97">
      <c r="A44" s="3" t="inlineStr">
        <is>
          <t>박정수</t>
        </is>
      </c>
      <c r="B44" s="101" t="inlineStr">
        <is>
          <t>유지</t>
        </is>
      </c>
      <c r="C44" s="102">
        <f>SUM(D44:CD44)</f>
        <v/>
      </c>
      <c r="D44" s="98" t="n"/>
      <c r="E44" s="103" t="n"/>
      <c r="F44" s="103" t="n">
        <v>20000</v>
      </c>
      <c r="G44" s="103" t="n"/>
      <c r="H44" s="103" t="n"/>
      <c r="I44" s="103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1"/>
  </conditionalFormatting>
  <conditionalFormatting sqref="D2:W43">
    <cfRule type="cellIs" priority="1" operator="greaterThan" dxfId="1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N11" sqref="N11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7월 1일 잔액</t>
        </is>
      </c>
      <c r="J16" s="118" t="n">
        <v>957190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baseColWidth="8" defaultRowHeight="16.5"/>
  <cols>
    <col width="13.25" customWidth="1" style="97" min="1" max="1"/>
    <col width="8.75" customWidth="1" style="97" min="2" max="2"/>
    <col width="15.25" customWidth="1" style="97" min="3" max="3"/>
    <col width="13.25" customWidth="1" style="97" min="4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46174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 (은행확인 6/1)</t>
        </is>
      </c>
    </row>
    <row r="8">
      <c r="A8" s="4">
        <f>RIGHT(YEAR(C8),2)&amp;"년 "&amp;MONTH(C8)&amp;"월"</f>
        <v/>
      </c>
      <c r="B8" s="4">
        <f>VLOOKUP(WEEKDAY(C8,2),참조!$A$1:$B$10,2,)</f>
        <v/>
      </c>
      <c r="C8" s="136" t="n">
        <v>46185</v>
      </c>
      <c r="D8" s="136" t="inlineStr">
        <is>
          <t>출금</t>
        </is>
      </c>
      <c r="E8" s="136" t="inlineStr">
        <is>
          <t>경품비</t>
        </is>
      </c>
      <c r="F8" s="137" t="n">
        <v>180000</v>
      </c>
      <c r="G8" s="137" t="n"/>
      <c r="H8" s="138">
        <f>G8-F8</f>
        <v/>
      </c>
      <c r="I8" s="139" t="inlineStr">
        <is>
          <t>대회 당일 카카오페이 정산(6건)</t>
        </is>
      </c>
    </row>
    <row r="9">
      <c r="A9" s="4">
        <f>RIGHT(YEAR(C9),2)&amp;"년 "&amp;MONTH(C9)&amp;"월"</f>
        <v/>
      </c>
      <c r="B9" s="4">
        <f>VLOOKUP(WEEKDAY(C9,2),참조!$A$1:$B$10,2,)</f>
        <v/>
      </c>
      <c r="C9" s="136" t="n">
        <v>46185</v>
      </c>
      <c r="D9" s="136" t="inlineStr">
        <is>
          <t>출금</t>
        </is>
      </c>
      <c r="E9" s="136" t="inlineStr">
        <is>
          <t>경품비</t>
        </is>
      </c>
      <c r="F9" s="137" t="n">
        <v>90000</v>
      </c>
      <c r="G9" s="137" t="n"/>
      <c r="H9" s="138">
        <f>G9-F9</f>
        <v/>
      </c>
      <c r="I9" s="139" t="inlineStr">
        <is>
          <t>옥지엽 이체</t>
        </is>
      </c>
    </row>
    <row r="10">
      <c r="A10" s="4">
        <f>RIGHT(YEAR(C10),2)&amp;"년 "&amp;MONTH(C10)&amp;"월"</f>
        <v/>
      </c>
      <c r="B10" s="4">
        <f>VLOOKUP(WEEKDAY(C10,2),참조!$A$1:$B$10,2,)</f>
        <v/>
      </c>
      <c r="C10" s="136" t="n">
        <v>46187</v>
      </c>
      <c r="D10" s="136" t="inlineStr">
        <is>
          <t>출금</t>
        </is>
      </c>
      <c r="E10" s="136" t="inlineStr">
        <is>
          <t>모임비</t>
        </is>
      </c>
      <c r="F10" s="137" t="n">
        <v>328000</v>
      </c>
      <c r="G10" s="137" t="n"/>
      <c r="H10" s="138">
        <f>G10-F10</f>
        <v/>
      </c>
      <c r="I10" s="139" t="inlineStr">
        <is>
          <t>황인호, 술값</t>
        </is>
      </c>
    </row>
    <row r="11">
      <c r="A11" s="4">
        <f>RIGHT(YEAR(C11),2)&amp;"년 "&amp;MONTH(C11)&amp;"월"</f>
        <v/>
      </c>
      <c r="B11" s="4">
        <f>VLOOKUP(WEEKDAY(C11,2),참조!$A$1:$B$10,2,)</f>
        <v/>
      </c>
      <c r="C11" s="136" t="n">
        <v>46200</v>
      </c>
      <c r="D11" s="136" t="inlineStr">
        <is>
          <t>입금</t>
        </is>
      </c>
      <c r="E11" s="136" t="inlineStr">
        <is>
          <t>이자</t>
        </is>
      </c>
      <c r="F11" s="137" t="n"/>
      <c r="G11" s="137" t="n">
        <v>63</v>
      </c>
      <c r="H11" s="138">
        <f>G11-F11</f>
        <v/>
      </c>
      <c r="I11" s="139" t="inlineStr">
        <is>
          <t>월간이자</t>
        </is>
      </c>
    </row>
    <row r="12">
      <c r="A12" s="4">
        <f>RIGHT(YEAR(C12),2)&amp;"년 "&amp;MONTH(C12)&amp;"월"</f>
        <v/>
      </c>
      <c r="B12" s="4">
        <f>VLOOKUP(WEEKDAY(C12,2),참조!$A$1:$B$10,2,)</f>
        <v/>
      </c>
      <c r="C12" s="136" t="n">
        <v>46204</v>
      </c>
      <c r="D12" s="136" t="inlineStr">
        <is>
          <t>입금</t>
        </is>
      </c>
      <c r="E12" s="136" t="inlineStr">
        <is>
          <t>회비</t>
        </is>
      </c>
      <c r="F12" s="137" t="n"/>
      <c r="G12" s="137">
        <f>SUMIFS(입금현황!$45:$45,입금현황!$1:$1,원장!$A12)</f>
        <v/>
      </c>
      <c r="H12" s="138">
        <f>G12-F12</f>
        <v/>
      </c>
      <c r="I12" s="139" t="inlineStr">
        <is>
          <t>월간회비납부</t>
        </is>
      </c>
    </row>
    <row r="13">
      <c r="A13" s="9">
        <f>RIGHT(YEAR(C13),2)&amp;"년 "&amp;MONTH(C13)&amp;"월"</f>
        <v/>
      </c>
      <c r="B13" s="9">
        <f>VLOOKUP(WEEKDAY(C13,2),참조!$A$1:$B$10,2,)</f>
        <v/>
      </c>
      <c r="C13" s="13" t="n">
        <v>46235</v>
      </c>
      <c r="D13" s="13" t="inlineStr">
        <is>
          <t>입금</t>
        </is>
      </c>
      <c r="E13" s="13" t="inlineStr">
        <is>
          <t>회비</t>
        </is>
      </c>
      <c r="F13" s="120" t="n"/>
      <c r="G13" s="120">
        <f>SUMIFS(입금현황!$45:$45,입금현황!$1:$1,원장!$A13)</f>
        <v/>
      </c>
      <c r="H13" s="121">
        <f>G13-F13</f>
        <v/>
      </c>
      <c r="I13" s="15" t="inlineStr">
        <is>
          <t>월간회비납부</t>
        </is>
      </c>
    </row>
    <row r="14">
      <c r="A14" s="9">
        <f>RIGHT(YEAR(C14),2)&amp;"년 "&amp;MONTH(C14)&amp;"월"</f>
        <v/>
      </c>
      <c r="B14" s="9">
        <f>VLOOKUP(WEEKDAY(C14,2),참조!$A$1:$B$10,2,)</f>
        <v/>
      </c>
      <c r="C14" s="13" t="n">
        <v>46266</v>
      </c>
      <c r="D14" s="13" t="inlineStr">
        <is>
          <t>입금</t>
        </is>
      </c>
      <c r="E14" s="13" t="inlineStr">
        <is>
          <t>회비</t>
        </is>
      </c>
      <c r="F14" s="120" t="n"/>
      <c r="G14" s="120">
        <f>SUMIFS(입금현황!$45:$45,입금현황!$1:$1,원장!$A14)</f>
        <v/>
      </c>
      <c r="H14" s="121">
        <f>G14-F14</f>
        <v/>
      </c>
      <c r="I14" s="15" t="inlineStr">
        <is>
          <t>월간회비납부</t>
        </is>
      </c>
    </row>
    <row r="15">
      <c r="A15" s="9">
        <f>RIGHT(YEAR(C15),2)&amp;"년 "&amp;MONTH(C15)&amp;"월"</f>
        <v/>
      </c>
      <c r="B15" s="9">
        <f>VLOOKUP(WEEKDAY(C15,2),참조!$A$1:$B$10,2,)</f>
        <v/>
      </c>
      <c r="C15" s="13" t="n">
        <v>46296</v>
      </c>
      <c r="D15" s="13" t="inlineStr">
        <is>
          <t>입금</t>
        </is>
      </c>
      <c r="E15" s="13" t="inlineStr">
        <is>
          <t>회비</t>
        </is>
      </c>
      <c r="F15" s="120" t="n"/>
      <c r="G15" s="120">
        <f>SUMIFS(입금현황!$45:$45,입금현황!$1:$1,원장!$A15)</f>
        <v/>
      </c>
      <c r="H15" s="121">
        <f>G15-F15</f>
        <v/>
      </c>
      <c r="I15" s="15" t="inlineStr">
        <is>
          <t>월간회비납부</t>
        </is>
      </c>
    </row>
    <row r="16">
      <c r="A16" s="9">
        <f>RIGHT(YEAR(C16),2)&amp;"년 "&amp;MONTH(C16)&amp;"월"</f>
        <v/>
      </c>
      <c r="B16" s="9">
        <f>VLOOKUP(WEEKDAY(C16,2),참조!$A$1:$B$10,2,)</f>
        <v/>
      </c>
      <c r="C16" s="13" t="n">
        <v>46327</v>
      </c>
      <c r="D16" s="13" t="inlineStr">
        <is>
          <t>입금</t>
        </is>
      </c>
      <c r="E16" s="13" t="inlineStr">
        <is>
          <t>회비</t>
        </is>
      </c>
      <c r="F16" s="120" t="n"/>
      <c r="G16" s="120">
        <f>SUMIFS(입금현황!$45:$45,입금현황!$1:$1,원장!$A16)</f>
        <v/>
      </c>
      <c r="H16" s="121">
        <f>G16-F16</f>
        <v/>
      </c>
      <c r="I16" s="15" t="inlineStr">
        <is>
          <t>월간회비납부</t>
        </is>
      </c>
    </row>
    <row r="17">
      <c r="A17" s="9">
        <f>RIGHT(YEAR(C17),2)&amp;"년 "&amp;MONTH(C17)&amp;"월"</f>
        <v/>
      </c>
      <c r="B17" s="9">
        <f>VLOOKUP(WEEKDAY(C17,2),참조!$A$1:$B$10,2,)</f>
        <v/>
      </c>
      <c r="C17" s="13" t="n">
        <v>46357</v>
      </c>
      <c r="D17" s="13" t="inlineStr">
        <is>
          <t>입금</t>
        </is>
      </c>
      <c r="E17" s="13" t="inlineStr">
        <is>
          <t>회비</t>
        </is>
      </c>
      <c r="F17" s="120" t="n"/>
      <c r="G17" s="120">
        <f>SUMIFS(입금현황!$45:$45,입금현황!$1:$1,원장!$A17)</f>
        <v/>
      </c>
      <c r="H17" s="121">
        <f>G17-F17</f>
        <v/>
      </c>
      <c r="I17" s="15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3">
        <f>AVERAGEIFS(D10:D2203,D10:D2203,"&gt;0")</f>
        <v/>
      </c>
      <c r="E4" s="123">
        <f>AVERAGEIFS(E10:E2203,E10:E2203,"&gt;0")</f>
        <v/>
      </c>
      <c r="F4" s="123">
        <f>AVERAGEIFS(F10:F2203,F10:F2203,"&gt;0")</f>
        <v/>
      </c>
      <c r="G4" s="123">
        <f>AVERAGEIFS(G10:G2203,G10:G2203,"&gt;0")</f>
        <v/>
      </c>
      <c r="H4" s="123">
        <f>AVERAGEIFS(H10:H2203,H10:H2203,"&lt;0")</f>
        <v/>
      </c>
      <c r="I4" s="124">
        <f>AVERAGEIFS(I10:I2203,I10:I2203,"&lt;0")</f>
        <v/>
      </c>
      <c r="J4" s="124">
        <f>AVERAGEIFS(J10:J2203,J10:J2203,"&lt;0")</f>
        <v/>
      </c>
      <c r="K4" s="124">
        <f>AVERAGEIFS(K10:K2203,K10:K2203,"&lt;0")</f>
        <v/>
      </c>
      <c r="L4" s="124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3">
        <f>AVERAGEIFS(D8:D2201,$C$10:$C$2203,"&lt;=3")</f>
        <v/>
      </c>
      <c r="E5" s="123">
        <f>AVERAGEIFS(E8:E2201,$C$10:$C$2203,"&lt;=3")</f>
        <v/>
      </c>
      <c r="F5" s="123">
        <f>AVERAGEIFS(F8:F2201,$C$10:$C$2203,"&lt;=3")</f>
        <v/>
      </c>
      <c r="G5" s="125">
        <f>AVERAGEIFS(G8:G2201,$C$10:$C$2203,"&lt;=3")</f>
        <v/>
      </c>
      <c r="H5" s="123">
        <f>AVERAGEIFS(H$10:H$2203,$C$10:$C$2203,"&lt;=3")</f>
        <v/>
      </c>
      <c r="I5" s="123">
        <f>AVERAGEIFS(I$10:I$2203,$C$10:$C$2203,"&lt;=3")</f>
        <v/>
      </c>
      <c r="J5" s="123">
        <f>AVERAGEIFS(J$10:J$2203,$C$10:$C$2203,"&lt;=3")</f>
        <v/>
      </c>
      <c r="K5" s="123">
        <f>AVERAGEIFS(K$10:K$2203,$C$10:$C$2203,"&lt;=3")</f>
        <v/>
      </c>
      <c r="L5" s="126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3">
        <f>AVERAGEIFS(D9:D2202,$C$10:$C$2203,"&lt;=6")</f>
        <v/>
      </c>
      <c r="E6" s="123">
        <f>AVERAGEIFS(E9:E2202,$C$10:$C$2203,"&lt;=6")</f>
        <v/>
      </c>
      <c r="F6" s="123">
        <f>AVERAGEIFS(F9:F2202,$C$10:$C$2203,"&lt;=6")</f>
        <v/>
      </c>
      <c r="G6" s="125">
        <f>AVERAGEIFS(G9:G2202,$C$10:$C$2203,"&lt;=6")</f>
        <v/>
      </c>
      <c r="H6" s="123">
        <f>AVERAGEIFS(H$10:H$2203,$C$10:$C$2203,"&lt;=6")</f>
        <v/>
      </c>
      <c r="I6" s="123">
        <f>AVERAGEIFS(I$10:I$2203,$C$10:$C$2203,"&lt;=6")</f>
        <v/>
      </c>
      <c r="J6" s="123">
        <f>AVERAGEIFS(J$10:J$2203,$C$10:$C$2203,"&lt;=6")</f>
        <v/>
      </c>
      <c r="K6" s="123">
        <f>AVERAGEIFS(K$10:K$2203,$C$10:$C$2203,"&lt;=6")</f>
        <v/>
      </c>
      <c r="L6" s="126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3">
        <f>AVERAGEIFS(D10:D2203,$C$10:$C$2203,"&lt;=12")</f>
        <v/>
      </c>
      <c r="E7" s="123">
        <f>AVERAGEIFS(E10:E2203,$C$10:$C$2203,"&lt;=12")</f>
        <v/>
      </c>
      <c r="F7" s="123">
        <f>AVERAGEIFS(F10:F2203,$C$10:$C$2203,"&lt;=12")</f>
        <v/>
      </c>
      <c r="G7" s="125">
        <f>AVERAGEIFS(G10:G2203,$C$10:$C$2203,"&lt;=12")</f>
        <v/>
      </c>
      <c r="H7" s="123">
        <f>AVERAGEIFS(H$10:H$2203,$C$10:$C$2203,"&lt;=12")</f>
        <v/>
      </c>
      <c r="I7" s="123">
        <f>AVERAGEIFS(I$10:I$2203,$C$10:$C$2203,"&lt;=12")</f>
        <v/>
      </c>
      <c r="J7" s="123">
        <f>AVERAGEIFS(J$10:J$2203,$C$10:$C$2203,"&lt;=12")</f>
        <v/>
      </c>
      <c r="K7" s="123">
        <f>AVERAGEIFS(K$10:K$2203,$C$10:$C$2203,"&lt;=12")</f>
        <v/>
      </c>
      <c r="L7" s="126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3">
        <f>SUMIFS(원장!$H:$H,원장!$A:$A,증감분석!$B11,원장!$D:$D,증감분석!D$9,원장!$E:$E,증감분석!D$10)</f>
        <v/>
      </c>
      <c r="E11" s="123">
        <f>SUMIFS(원장!$H:$H,원장!$A:$A,증감분석!$B11,원장!$D:$D,증감분석!E$9,원장!$E:$E,증감분석!E$10)</f>
        <v/>
      </c>
      <c r="F11" s="123">
        <f>SUMIFS(원장!$H:$H,원장!$A:$A,증감분석!$B11,원장!$D:$D,증감분석!F$9,원장!$E:$E,증감분석!F$10)</f>
        <v/>
      </c>
      <c r="G11" s="123">
        <f>SUM(D11:F11)</f>
        <v/>
      </c>
      <c r="H11" s="123">
        <f>SUMIFS(원장!$H:$H,원장!$A:$A,증감분석!$B11,원장!$D:$D,증감분석!H$9,원장!$E:$E,증감분석!H$10)</f>
        <v/>
      </c>
      <c r="I11" s="123">
        <f>SUMIFS(원장!$H:$H,원장!$A:$A,증감분석!$B11,원장!$D:$D,증감분석!I$9,원장!$E:$E,증감분석!I$10)</f>
        <v/>
      </c>
      <c r="J11" s="123">
        <f>SUMIFS(원장!$H:$H,원장!$A:$A,증감분석!$B11,원장!$D:$D,증감분석!J$9,원장!$E:$E,증감분석!J$10)</f>
        <v/>
      </c>
      <c r="K11" s="123">
        <f>SUMIFS(원장!$H:$H,원장!$A:$A,증감분석!$B11,원장!$D:$D,증감분석!K$9,원장!$E:$E,증감분석!K$10)</f>
        <v/>
      </c>
      <c r="L11" s="123">
        <f>SUM(H11:K11)</f>
        <v/>
      </c>
      <c r="M11" s="123">
        <f>G11+L11</f>
        <v/>
      </c>
      <c r="N11" s="123">
        <f>SUM($M$11:M11)</f>
        <v/>
      </c>
      <c r="P11" s="55">
        <f>B11</f>
        <v/>
      </c>
      <c r="Q11" s="123">
        <f>G11</f>
        <v/>
      </c>
      <c r="R11" s="127">
        <f>-L11</f>
        <v/>
      </c>
      <c r="S11" s="123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3">
        <f>SUMIFS(원장!$H:$H,원장!$A:$A,증감분석!$B12,원장!$D:$D,증감분석!D$9,원장!$E:$E,증감분석!D$10)</f>
        <v/>
      </c>
      <c r="E12" s="123">
        <f>SUMIFS(원장!$H:$H,원장!$A:$A,증감분석!$B12,원장!$D:$D,증감분석!E$9,원장!$E:$E,증감분석!E$10)</f>
        <v/>
      </c>
      <c r="F12" s="123">
        <f>SUMIFS(원장!$H:$H,원장!$A:$A,증감분석!$B12,원장!$D:$D,증감분석!F$9,원장!$E:$E,증감분석!F$10)</f>
        <v/>
      </c>
      <c r="G12" s="123">
        <f>SUM(D12:F12)</f>
        <v/>
      </c>
      <c r="H12" s="123">
        <f>SUMIFS(원장!$H:$H,원장!$A:$A,증감분석!$B12,원장!$D:$D,증감분석!H$9,원장!$E:$E,증감분석!H$10)</f>
        <v/>
      </c>
      <c r="I12" s="123">
        <f>SUMIFS(원장!$H:$H,원장!$A:$A,증감분석!$B12,원장!$D:$D,증감분석!I$9,원장!$E:$E,증감분석!I$10)</f>
        <v/>
      </c>
      <c r="J12" s="123">
        <f>SUMIFS(원장!$H:$H,원장!$A:$A,증감분석!$B12,원장!$D:$D,증감분석!J$9,원장!$E:$E,증감분석!J$10)</f>
        <v/>
      </c>
      <c r="K12" s="123">
        <f>SUMIFS(원장!$H:$H,원장!$A:$A,증감분석!$B12,원장!$D:$D,증감분석!K$9,원장!$E:$E,증감분석!K$10)</f>
        <v/>
      </c>
      <c r="L12" s="123">
        <f>SUM(H12:K12)</f>
        <v/>
      </c>
      <c r="M12" s="123">
        <f>G12+L12</f>
        <v/>
      </c>
      <c r="N12" s="123">
        <f>SUM($M$11:M12)</f>
        <v/>
      </c>
      <c r="P12" s="55">
        <f>B12</f>
        <v/>
      </c>
      <c r="Q12" s="123">
        <f>G12</f>
        <v/>
      </c>
      <c r="R12" s="127">
        <f>-L12</f>
        <v/>
      </c>
      <c r="S12" s="123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3">
        <f>SUMIFS(원장!$H:$H,원장!$A:$A,증감분석!$B13,원장!$D:$D,증감분석!D$9,원장!$E:$E,증감분석!D$10)</f>
        <v/>
      </c>
      <c r="E13" s="123">
        <f>SUMIFS(원장!$H:$H,원장!$A:$A,증감분석!$B13,원장!$D:$D,증감분석!E$9,원장!$E:$E,증감분석!E$10)</f>
        <v/>
      </c>
      <c r="F13" s="123">
        <f>SUMIFS(원장!$H:$H,원장!$A:$A,증감분석!$B13,원장!$D:$D,증감분석!F$9,원장!$E:$E,증감분석!F$10)</f>
        <v/>
      </c>
      <c r="G13" s="123">
        <f>SUM(D13:F13)</f>
        <v/>
      </c>
      <c r="H13" s="123">
        <f>SUMIFS(원장!$H:$H,원장!$A:$A,증감분석!$B13,원장!$D:$D,증감분석!H$9,원장!$E:$E,증감분석!H$10)</f>
        <v/>
      </c>
      <c r="I13" s="123">
        <f>SUMIFS(원장!$H:$H,원장!$A:$A,증감분석!$B13,원장!$D:$D,증감분석!I$9,원장!$E:$E,증감분석!I$10)</f>
        <v/>
      </c>
      <c r="J13" s="123">
        <f>SUMIFS(원장!$H:$H,원장!$A:$A,증감분석!$B13,원장!$D:$D,증감분석!J$9,원장!$E:$E,증감분석!J$10)</f>
        <v/>
      </c>
      <c r="K13" s="123">
        <f>SUMIFS(원장!$H:$H,원장!$A:$A,증감분석!$B13,원장!$D:$D,증감분석!K$9,원장!$E:$E,증감분석!K$10)</f>
        <v/>
      </c>
      <c r="L13" s="123">
        <f>SUM(H13:K13)</f>
        <v/>
      </c>
      <c r="M13" s="123">
        <f>G13+L13</f>
        <v/>
      </c>
      <c r="N13" s="123">
        <f>SUM($M$11:M13)</f>
        <v/>
      </c>
      <c r="P13" s="55">
        <f>B13</f>
        <v/>
      </c>
      <c r="Q13" s="123">
        <f>G13</f>
        <v/>
      </c>
      <c r="R13" s="127">
        <f>-L13</f>
        <v/>
      </c>
      <c r="S13" s="123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3">
        <f>SUMIFS(원장!$H:$H,원장!$A:$A,증감분석!$B14,원장!$D:$D,증감분석!D$9,원장!$E:$E,증감분석!D$10)</f>
        <v/>
      </c>
      <c r="E14" s="123">
        <f>SUMIFS(원장!$H:$H,원장!$A:$A,증감분석!$B14,원장!$D:$D,증감분석!E$9,원장!$E:$E,증감분석!E$10)</f>
        <v/>
      </c>
      <c r="F14" s="123">
        <f>SUMIFS(원장!$H:$H,원장!$A:$A,증감분석!$B14,원장!$D:$D,증감분석!F$9,원장!$E:$E,증감분석!F$10)</f>
        <v/>
      </c>
      <c r="G14" s="123">
        <f>SUM(D14:F14)</f>
        <v/>
      </c>
      <c r="H14" s="123">
        <f>SUMIFS(원장!$H:$H,원장!$A:$A,증감분석!$B14,원장!$D:$D,증감분석!H$9,원장!$E:$E,증감분석!H$10)</f>
        <v/>
      </c>
      <c r="I14" s="123">
        <f>SUMIFS(원장!$H:$H,원장!$A:$A,증감분석!$B14,원장!$D:$D,증감분석!I$9,원장!$E:$E,증감분석!I$10)</f>
        <v/>
      </c>
      <c r="J14" s="123">
        <f>SUMIFS(원장!$H:$H,원장!$A:$A,증감분석!$B14,원장!$D:$D,증감분석!J$9,원장!$E:$E,증감분석!J$10)</f>
        <v/>
      </c>
      <c r="K14" s="123">
        <f>SUMIFS(원장!$H:$H,원장!$A:$A,증감분석!$B14,원장!$D:$D,증감분석!K$9,원장!$E:$E,증감분석!K$10)</f>
        <v/>
      </c>
      <c r="L14" s="123">
        <f>SUM(H14:K14)</f>
        <v/>
      </c>
      <c r="M14" s="123">
        <f>G14+L14</f>
        <v/>
      </c>
      <c r="N14" s="123">
        <f>SUM($M$11:M14)</f>
        <v/>
      </c>
      <c r="P14" s="55">
        <f>B14</f>
        <v/>
      </c>
      <c r="Q14" s="123">
        <f>G14</f>
        <v/>
      </c>
      <c r="R14" s="127">
        <f>-L14</f>
        <v/>
      </c>
      <c r="S14" s="123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3">
        <f>SUMIFS(원장!$H:$H,원장!$A:$A,증감분석!$B15,원장!$D:$D,증감분석!D$9,원장!$E:$E,증감분석!D$10)</f>
        <v/>
      </c>
      <c r="E15" s="123">
        <f>SUMIFS(원장!$H:$H,원장!$A:$A,증감분석!$B15,원장!$D:$D,증감분석!E$9,원장!$E:$E,증감분석!E$10)</f>
        <v/>
      </c>
      <c r="F15" s="123">
        <f>SUMIFS(원장!$H:$H,원장!$A:$A,증감분석!$B15,원장!$D:$D,증감분석!F$9,원장!$E:$E,증감분석!F$10)</f>
        <v/>
      </c>
      <c r="G15" s="123">
        <f>SUM(D15:F15)</f>
        <v/>
      </c>
      <c r="H15" s="123">
        <f>SUMIFS(원장!$H:$H,원장!$A:$A,증감분석!$B15,원장!$D:$D,증감분석!H$9,원장!$E:$E,증감분석!H$10)</f>
        <v/>
      </c>
      <c r="I15" s="123">
        <f>SUMIFS(원장!$H:$H,원장!$A:$A,증감분석!$B15,원장!$D:$D,증감분석!I$9,원장!$E:$E,증감분석!I$10)</f>
        <v/>
      </c>
      <c r="J15" s="123">
        <f>SUMIFS(원장!$H:$H,원장!$A:$A,증감분석!$B15,원장!$D:$D,증감분석!J$9,원장!$E:$E,증감분석!J$10)</f>
        <v/>
      </c>
      <c r="K15" s="123">
        <f>SUMIFS(원장!$H:$H,원장!$A:$A,증감분석!$B15,원장!$D:$D,증감분석!K$9,원장!$E:$E,증감분석!K$10)</f>
        <v/>
      </c>
      <c r="L15" s="123">
        <f>SUM(H15:K15)</f>
        <v/>
      </c>
      <c r="M15" s="123">
        <f>G15+L15</f>
        <v/>
      </c>
      <c r="N15" s="123">
        <f>SUM($M$11:M15)</f>
        <v/>
      </c>
      <c r="P15" s="55">
        <f>B15</f>
        <v/>
      </c>
      <c r="Q15" s="123">
        <f>G15</f>
        <v/>
      </c>
      <c r="R15" s="127">
        <f>-L15</f>
        <v/>
      </c>
      <c r="S15" s="123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3">
        <f>SUMIFS(원장!$H:$H,원장!$A:$A,증감분석!$B16,원장!$D:$D,증감분석!D$9,원장!$E:$E,증감분석!D$10)</f>
        <v/>
      </c>
      <c r="E16" s="123">
        <f>SUMIFS(원장!$H:$H,원장!$A:$A,증감분석!$B16,원장!$D:$D,증감분석!E$9,원장!$E:$E,증감분석!E$10)</f>
        <v/>
      </c>
      <c r="F16" s="123">
        <f>SUMIFS(원장!$H:$H,원장!$A:$A,증감분석!$B16,원장!$D:$D,증감분석!F$9,원장!$E:$E,증감분석!F$10)</f>
        <v/>
      </c>
      <c r="G16" s="123">
        <f>SUM(D16:F16)</f>
        <v/>
      </c>
      <c r="H16" s="123">
        <f>SUMIFS(원장!$H:$H,원장!$A:$A,증감분석!$B16,원장!$D:$D,증감분석!H$9,원장!$E:$E,증감분석!H$10)</f>
        <v/>
      </c>
      <c r="I16" s="123">
        <f>SUMIFS(원장!$H:$H,원장!$A:$A,증감분석!$B16,원장!$D:$D,증감분석!I$9,원장!$E:$E,증감분석!I$10)</f>
        <v/>
      </c>
      <c r="J16" s="123">
        <f>SUMIFS(원장!$H:$H,원장!$A:$A,증감분석!$B16,원장!$D:$D,증감분석!J$9,원장!$E:$E,증감분석!J$10)</f>
        <v/>
      </c>
      <c r="K16" s="123">
        <f>SUMIFS(원장!$H:$H,원장!$A:$A,증감분석!$B16,원장!$D:$D,증감분석!K$9,원장!$E:$E,증감분석!K$10)</f>
        <v/>
      </c>
      <c r="L16" s="123">
        <f>SUM(H16:K16)</f>
        <v/>
      </c>
      <c r="M16" s="123">
        <f>G16+L16</f>
        <v/>
      </c>
      <c r="N16" s="123">
        <f>SUM($M$11:M16)</f>
        <v/>
      </c>
      <c r="P16" s="55">
        <f>B16</f>
        <v/>
      </c>
      <c r="Q16" s="123">
        <f>G16</f>
        <v/>
      </c>
      <c r="R16" s="127">
        <f>-L16</f>
        <v/>
      </c>
      <c r="S16" s="123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3">
        <f>SUMIFS(원장!$H:$H,원장!$A:$A,증감분석!$B17,원장!$D:$D,증감분석!D$9,원장!$E:$E,증감분석!D$10)</f>
        <v/>
      </c>
      <c r="E17" s="123">
        <f>SUMIFS(원장!$H:$H,원장!$A:$A,증감분석!$B17,원장!$D:$D,증감분석!E$9,원장!$E:$E,증감분석!E$10)</f>
        <v/>
      </c>
      <c r="F17" s="123">
        <f>SUMIFS(원장!$H:$H,원장!$A:$A,증감분석!$B17,원장!$D:$D,증감분석!F$9,원장!$E:$E,증감분석!F$10)</f>
        <v/>
      </c>
      <c r="G17" s="123">
        <f>SUM(D17:F17)</f>
        <v/>
      </c>
      <c r="H17" s="123">
        <f>SUMIFS(원장!$H:$H,원장!$A:$A,증감분석!$B17,원장!$D:$D,증감분석!H$9,원장!$E:$E,증감분석!H$10)</f>
        <v/>
      </c>
      <c r="I17" s="123">
        <f>SUMIFS(원장!$H:$H,원장!$A:$A,증감분석!$B17,원장!$D:$D,증감분석!I$9,원장!$E:$E,증감분석!I$10)</f>
        <v/>
      </c>
      <c r="J17" s="123">
        <f>SUMIFS(원장!$H:$H,원장!$A:$A,증감분석!$B17,원장!$D:$D,증감분석!J$9,원장!$E:$E,증감분석!J$10)</f>
        <v/>
      </c>
      <c r="K17" s="123">
        <f>SUMIFS(원장!$H:$H,원장!$A:$A,증감분석!$B17,원장!$D:$D,증감분석!K$9,원장!$E:$E,증감분석!K$10)</f>
        <v/>
      </c>
      <c r="L17" s="123">
        <f>SUM(H17:K17)</f>
        <v/>
      </c>
      <c r="M17" s="123">
        <f>G17+L17</f>
        <v/>
      </c>
      <c r="N17" s="123">
        <f>SUM($M$11:M17)</f>
        <v/>
      </c>
      <c r="P17" s="55">
        <f>B17</f>
        <v/>
      </c>
      <c r="Q17" s="123">
        <f>G17</f>
        <v/>
      </c>
      <c r="R17" s="127">
        <f>-L17</f>
        <v/>
      </c>
      <c r="S17" s="123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3">
        <f>SUMIFS(원장!$H:$H,원장!$A:$A,증감분석!$B18,원장!$D:$D,증감분석!D$9,원장!$E:$E,증감분석!D$10)</f>
        <v/>
      </c>
      <c r="E18" s="123">
        <f>SUMIFS(원장!$H:$H,원장!$A:$A,증감분석!$B18,원장!$D:$D,증감분석!E$9,원장!$E:$E,증감분석!E$10)</f>
        <v/>
      </c>
      <c r="F18" s="123">
        <f>SUMIFS(원장!$H:$H,원장!$A:$A,증감분석!$B18,원장!$D:$D,증감분석!F$9,원장!$E:$E,증감분석!F$10)</f>
        <v/>
      </c>
      <c r="G18" s="123">
        <f>SUM(D18:F18)</f>
        <v/>
      </c>
      <c r="H18" s="123">
        <f>SUMIFS(원장!$H:$H,원장!$A:$A,증감분석!$B18,원장!$D:$D,증감분석!H$9,원장!$E:$E,증감분석!H$10)</f>
        <v/>
      </c>
      <c r="I18" s="123">
        <f>SUMIFS(원장!$H:$H,원장!$A:$A,증감분석!$B18,원장!$D:$D,증감분석!I$9,원장!$E:$E,증감분석!I$10)</f>
        <v/>
      </c>
      <c r="J18" s="123">
        <f>SUMIFS(원장!$H:$H,원장!$A:$A,증감분석!$B18,원장!$D:$D,증감분석!J$9,원장!$E:$E,증감분석!J$10)</f>
        <v/>
      </c>
      <c r="K18" s="123">
        <f>SUMIFS(원장!$H:$H,원장!$A:$A,증감분석!$B18,원장!$D:$D,증감분석!K$9,원장!$E:$E,증감분석!K$10)</f>
        <v/>
      </c>
      <c r="L18" s="123">
        <f>SUM(H18:K18)</f>
        <v/>
      </c>
      <c r="M18" s="123">
        <f>G18+L18</f>
        <v/>
      </c>
      <c r="N18" s="123">
        <f>SUM($M$11:M18)</f>
        <v/>
      </c>
      <c r="P18" s="55">
        <f>B18</f>
        <v/>
      </c>
      <c r="Q18" s="123">
        <f>G18</f>
        <v/>
      </c>
      <c r="R18" s="127">
        <f>-L18</f>
        <v/>
      </c>
      <c r="S18" s="123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3">
        <f>SUMIFS(원장!$H:$H,원장!$A:$A,증감분석!$B19,원장!$D:$D,증감분석!D$9,원장!$E:$E,증감분석!D$10)</f>
        <v/>
      </c>
      <c r="E19" s="123">
        <f>SUMIFS(원장!$H:$H,원장!$A:$A,증감분석!$B19,원장!$D:$D,증감분석!E$9,원장!$E:$E,증감분석!E$10)</f>
        <v/>
      </c>
      <c r="F19" s="123">
        <f>SUMIFS(원장!$H:$H,원장!$A:$A,증감분석!$B19,원장!$D:$D,증감분석!F$9,원장!$E:$E,증감분석!F$10)</f>
        <v/>
      </c>
      <c r="G19" s="123">
        <f>SUM(D19:F19)</f>
        <v/>
      </c>
      <c r="H19" s="123">
        <f>SUMIFS(원장!$H:$H,원장!$A:$A,증감분석!$B19,원장!$D:$D,증감분석!H$9,원장!$E:$E,증감분석!H$10)</f>
        <v/>
      </c>
      <c r="I19" s="123">
        <f>SUMIFS(원장!$H:$H,원장!$A:$A,증감분석!$B19,원장!$D:$D,증감분석!I$9,원장!$E:$E,증감분석!I$10)</f>
        <v/>
      </c>
      <c r="J19" s="123">
        <f>SUMIFS(원장!$H:$H,원장!$A:$A,증감분석!$B19,원장!$D:$D,증감분석!J$9,원장!$E:$E,증감분석!J$10)</f>
        <v/>
      </c>
      <c r="K19" s="123">
        <f>SUMIFS(원장!$H:$H,원장!$A:$A,증감분석!$B19,원장!$D:$D,증감분석!K$9,원장!$E:$E,증감분석!K$10)</f>
        <v/>
      </c>
      <c r="L19" s="123">
        <f>SUM(H19:K19)</f>
        <v/>
      </c>
      <c r="M19" s="123">
        <f>G19+L19</f>
        <v/>
      </c>
      <c r="N19" s="123">
        <f>SUM($M$11:M19)</f>
        <v/>
      </c>
      <c r="P19" s="55">
        <f>B19</f>
        <v/>
      </c>
      <c r="Q19" s="123">
        <f>G19</f>
        <v/>
      </c>
      <c r="R19" s="127">
        <f>-L19</f>
        <v/>
      </c>
      <c r="S19" s="123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3">
        <f>SUMIFS(원장!$H:$H,원장!$A:$A,증감분석!$B20,원장!$D:$D,증감분석!D$9,원장!$E:$E,증감분석!D$10)</f>
        <v/>
      </c>
      <c r="E20" s="123">
        <f>SUMIFS(원장!$H:$H,원장!$A:$A,증감분석!$B20,원장!$D:$D,증감분석!E$9,원장!$E:$E,증감분석!E$10)</f>
        <v/>
      </c>
      <c r="F20" s="123">
        <f>SUMIFS(원장!$H:$H,원장!$A:$A,증감분석!$B20,원장!$D:$D,증감분석!F$9,원장!$E:$E,증감분석!F$10)</f>
        <v/>
      </c>
      <c r="G20" s="123">
        <f>SUM(D20:F20)</f>
        <v/>
      </c>
      <c r="H20" s="123">
        <f>SUMIFS(원장!$H:$H,원장!$A:$A,증감분석!$B20,원장!$D:$D,증감분석!H$9,원장!$E:$E,증감분석!H$10)</f>
        <v/>
      </c>
      <c r="I20" s="123">
        <f>SUMIFS(원장!$H:$H,원장!$A:$A,증감분석!$B20,원장!$D:$D,증감분석!I$9,원장!$E:$E,증감분석!I$10)</f>
        <v/>
      </c>
      <c r="J20" s="123">
        <f>SUMIFS(원장!$H:$H,원장!$A:$A,증감분석!$B20,원장!$D:$D,증감분석!J$9,원장!$E:$E,증감분석!J$10)</f>
        <v/>
      </c>
      <c r="K20" s="123">
        <f>SUMIFS(원장!$H:$H,원장!$A:$A,증감분석!$B20,원장!$D:$D,증감분석!K$9,원장!$E:$E,증감분석!K$10)</f>
        <v/>
      </c>
      <c r="L20" s="123">
        <f>SUM(H20:K20)</f>
        <v/>
      </c>
      <c r="M20" s="123">
        <f>G20+L20</f>
        <v/>
      </c>
      <c r="N20" s="123">
        <f>SUM($M$11:M20)</f>
        <v/>
      </c>
      <c r="P20" s="55">
        <f>B20</f>
        <v/>
      </c>
      <c r="Q20" s="123">
        <f>G20</f>
        <v/>
      </c>
      <c r="R20" s="127">
        <f>-L20</f>
        <v/>
      </c>
      <c r="S20" s="123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3">
        <f>SUMIFS(원장!$H:$H,원장!$A:$A,증감분석!$B21,원장!$D:$D,증감분석!D$9,원장!$E:$E,증감분석!D$10)</f>
        <v/>
      </c>
      <c r="E21" s="123">
        <f>SUMIFS(원장!$H:$H,원장!$A:$A,증감분석!$B21,원장!$D:$D,증감분석!E$9,원장!$E:$E,증감분석!E$10)</f>
        <v/>
      </c>
      <c r="F21" s="123">
        <f>SUMIFS(원장!$H:$H,원장!$A:$A,증감분석!$B21,원장!$D:$D,증감분석!F$9,원장!$E:$E,증감분석!F$10)</f>
        <v/>
      </c>
      <c r="G21" s="123">
        <f>SUM(D21:F21)</f>
        <v/>
      </c>
      <c r="H21" s="123">
        <f>SUMIFS(원장!$H:$H,원장!$A:$A,증감분석!$B21,원장!$D:$D,증감분석!H$9,원장!$E:$E,증감분석!H$10)</f>
        <v/>
      </c>
      <c r="I21" s="123">
        <f>SUMIFS(원장!$H:$H,원장!$A:$A,증감분석!$B21,원장!$D:$D,증감분석!I$9,원장!$E:$E,증감분석!I$10)</f>
        <v/>
      </c>
      <c r="J21" s="123">
        <f>SUMIFS(원장!$H:$H,원장!$A:$A,증감분석!$B21,원장!$D:$D,증감분석!J$9,원장!$E:$E,증감분석!J$10)</f>
        <v/>
      </c>
      <c r="K21" s="123">
        <f>SUMIFS(원장!$H:$H,원장!$A:$A,증감분석!$B21,원장!$D:$D,증감분석!K$9,원장!$E:$E,증감분석!K$10)</f>
        <v/>
      </c>
      <c r="L21" s="123">
        <f>SUM(H21:K21)</f>
        <v/>
      </c>
      <c r="M21" s="123">
        <f>G21+L21</f>
        <v/>
      </c>
      <c r="N21" s="123">
        <f>SUM($M$11:M21)</f>
        <v/>
      </c>
      <c r="P21" s="55">
        <f>B21</f>
        <v/>
      </c>
      <c r="Q21" s="123">
        <f>G21</f>
        <v/>
      </c>
      <c r="R21" s="127">
        <f>-L21</f>
        <v/>
      </c>
      <c r="S21" s="123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3">
        <f>SUMIFS(원장!$H:$H,원장!$A:$A,증감분석!$B22,원장!$D:$D,증감분석!D$9,원장!$E:$E,증감분석!D$10)</f>
        <v/>
      </c>
      <c r="E22" s="123">
        <f>SUMIFS(원장!$H:$H,원장!$A:$A,증감분석!$B22,원장!$D:$D,증감분석!E$9,원장!$E:$E,증감분석!E$10)</f>
        <v/>
      </c>
      <c r="F22" s="123">
        <f>SUMIFS(원장!$H:$H,원장!$A:$A,증감분석!$B22,원장!$D:$D,증감분석!F$9,원장!$E:$E,증감분석!F$10)</f>
        <v/>
      </c>
      <c r="G22" s="123">
        <f>SUM(D22:F22)</f>
        <v/>
      </c>
      <c r="H22" s="123">
        <f>SUMIFS(원장!$H:$H,원장!$A:$A,증감분석!$B22,원장!$D:$D,증감분석!H$9,원장!$E:$E,증감분석!H$10)</f>
        <v/>
      </c>
      <c r="I22" s="123">
        <f>SUMIFS(원장!$H:$H,원장!$A:$A,증감분석!$B22,원장!$D:$D,증감분석!I$9,원장!$E:$E,증감분석!I$10)</f>
        <v/>
      </c>
      <c r="J22" s="123">
        <f>SUMIFS(원장!$H:$H,원장!$A:$A,증감분석!$B22,원장!$D:$D,증감분석!J$9,원장!$E:$E,증감분석!J$10)</f>
        <v/>
      </c>
      <c r="K22" s="123">
        <f>SUMIFS(원장!$H:$H,원장!$A:$A,증감분석!$B22,원장!$D:$D,증감분석!K$9,원장!$E:$E,증감분석!K$10)</f>
        <v/>
      </c>
      <c r="L22" s="123">
        <f>SUM(H22:K22)</f>
        <v/>
      </c>
      <c r="M22" s="123">
        <f>G22+L22</f>
        <v/>
      </c>
      <c r="N22" s="123">
        <f>SUM($M$11:M22)</f>
        <v/>
      </c>
      <c r="P22" s="55">
        <f>B22</f>
        <v/>
      </c>
      <c r="Q22" s="123">
        <f>G22</f>
        <v/>
      </c>
      <c r="R22" s="127">
        <f>-L22</f>
        <v/>
      </c>
      <c r="S22" s="123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3">
        <f>SUMIFS(원장!$H:$H,원장!$A:$A,증감분석!$B23,원장!$D:$D,증감분석!D$9,원장!$E:$E,증감분석!D$10)</f>
        <v/>
      </c>
      <c r="E23" s="123">
        <f>SUMIFS(원장!$H:$H,원장!$A:$A,증감분석!$B23,원장!$D:$D,증감분석!E$9,원장!$E:$E,증감분석!E$10)</f>
        <v/>
      </c>
      <c r="F23" s="123">
        <f>SUMIFS(원장!$H:$H,원장!$A:$A,증감분석!$B23,원장!$D:$D,증감분석!F$9,원장!$E:$E,증감분석!F$10)</f>
        <v/>
      </c>
      <c r="G23" s="123">
        <f>SUM(D23:F23)</f>
        <v/>
      </c>
      <c r="H23" s="123">
        <f>SUMIFS(원장!$H:$H,원장!$A:$A,증감분석!$B23,원장!$D:$D,증감분석!H$9,원장!$E:$E,증감분석!H$10)</f>
        <v/>
      </c>
      <c r="I23" s="123">
        <f>SUMIFS(원장!$H:$H,원장!$A:$A,증감분석!$B23,원장!$D:$D,증감분석!I$9,원장!$E:$E,증감분석!I$10)</f>
        <v/>
      </c>
      <c r="J23" s="123">
        <f>SUMIFS(원장!$H:$H,원장!$A:$A,증감분석!$B23,원장!$D:$D,증감분석!J$9,원장!$E:$E,증감분석!J$10)</f>
        <v/>
      </c>
      <c r="K23" s="123">
        <f>SUMIFS(원장!$H:$H,원장!$A:$A,증감분석!$B23,원장!$D:$D,증감분석!K$9,원장!$E:$E,증감분석!K$10)</f>
        <v/>
      </c>
      <c r="L23" s="123">
        <f>SUM(H23:K23)</f>
        <v/>
      </c>
      <c r="M23" s="123">
        <f>G23+L23</f>
        <v/>
      </c>
      <c r="N23" s="123">
        <f>SUM($M$11:M23)</f>
        <v/>
      </c>
      <c r="P23" s="55">
        <f>B23</f>
        <v/>
      </c>
      <c r="Q23" s="123">
        <f>G23</f>
        <v/>
      </c>
      <c r="R23" s="127">
        <f>-L23</f>
        <v/>
      </c>
      <c r="S23" s="123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3">
        <f>SUMIFS(원장!$H:$H,원장!$A:$A,증감분석!$B24,원장!$D:$D,증감분석!D$9,원장!$E:$E,증감분석!D$10)</f>
        <v/>
      </c>
      <c r="E24" s="123">
        <f>SUMIFS(원장!$H:$H,원장!$A:$A,증감분석!$B24,원장!$D:$D,증감분석!E$9,원장!$E:$E,증감분석!E$10)</f>
        <v/>
      </c>
      <c r="F24" s="123">
        <f>SUMIFS(원장!$H:$H,원장!$A:$A,증감분석!$B24,원장!$D:$D,증감분석!F$9,원장!$E:$E,증감분석!F$10)</f>
        <v/>
      </c>
      <c r="G24" s="123">
        <f>SUM(D24:F24)</f>
        <v/>
      </c>
      <c r="H24" s="123">
        <f>SUMIFS(원장!$H:$H,원장!$A:$A,증감분석!$B24,원장!$D:$D,증감분석!H$9,원장!$E:$E,증감분석!H$10)</f>
        <v/>
      </c>
      <c r="I24" s="123">
        <f>SUMIFS(원장!$H:$H,원장!$A:$A,증감분석!$B24,원장!$D:$D,증감분석!I$9,원장!$E:$E,증감분석!I$10)</f>
        <v/>
      </c>
      <c r="J24" s="123">
        <f>SUMIFS(원장!$H:$H,원장!$A:$A,증감분석!$B24,원장!$D:$D,증감분석!J$9,원장!$E:$E,증감분석!J$10)</f>
        <v/>
      </c>
      <c r="K24" s="123">
        <f>SUMIFS(원장!$H:$H,원장!$A:$A,증감분석!$B24,원장!$D:$D,증감분석!K$9,원장!$E:$E,증감분석!K$10)</f>
        <v/>
      </c>
      <c r="L24" s="123">
        <f>SUM(H24:K24)</f>
        <v/>
      </c>
      <c r="M24" s="123">
        <f>G24+L24</f>
        <v/>
      </c>
      <c r="N24" s="123">
        <f>SUM($M$11:M24)</f>
        <v/>
      </c>
      <c r="P24" s="55">
        <f>B24</f>
        <v/>
      </c>
      <c r="Q24" s="123">
        <f>G24</f>
        <v/>
      </c>
      <c r="R24" s="127">
        <f>-L24</f>
        <v/>
      </c>
      <c r="S24" s="123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3">
        <f>SUMIFS(원장!$H:$H,원장!$A:$A,증감분석!$B25,원장!$D:$D,증감분석!D$9,원장!$E:$E,증감분석!D$10)</f>
        <v/>
      </c>
      <c r="E25" s="123">
        <f>SUMIFS(원장!$H:$H,원장!$A:$A,증감분석!$B25,원장!$D:$D,증감분석!E$9,원장!$E:$E,증감분석!E$10)</f>
        <v/>
      </c>
      <c r="F25" s="123">
        <f>SUMIFS(원장!$H:$H,원장!$A:$A,증감분석!$B25,원장!$D:$D,증감분석!F$9,원장!$E:$E,증감분석!F$10)</f>
        <v/>
      </c>
      <c r="G25" s="123">
        <f>SUM(D25:F25)</f>
        <v/>
      </c>
      <c r="H25" s="123">
        <f>SUMIFS(원장!$H:$H,원장!$A:$A,증감분석!$B25,원장!$D:$D,증감분석!H$9,원장!$E:$E,증감분석!H$10)</f>
        <v/>
      </c>
      <c r="I25" s="123">
        <f>SUMIFS(원장!$H:$H,원장!$A:$A,증감분석!$B25,원장!$D:$D,증감분석!I$9,원장!$E:$E,증감분석!I$10)</f>
        <v/>
      </c>
      <c r="J25" s="123">
        <f>SUMIFS(원장!$H:$H,원장!$A:$A,증감분석!$B25,원장!$D:$D,증감분석!J$9,원장!$E:$E,증감분석!J$10)</f>
        <v/>
      </c>
      <c r="K25" s="123">
        <f>SUMIFS(원장!$H:$H,원장!$A:$A,증감분석!$B25,원장!$D:$D,증감분석!K$9,원장!$E:$E,증감분석!K$10)</f>
        <v/>
      </c>
      <c r="L25" s="123">
        <f>SUM(H25:K25)</f>
        <v/>
      </c>
      <c r="M25" s="123">
        <f>G25+L25</f>
        <v/>
      </c>
      <c r="N25" s="123">
        <f>SUM($M$11:M25)</f>
        <v/>
      </c>
      <c r="P25" s="55">
        <f>B25</f>
        <v/>
      </c>
      <c r="Q25" s="123">
        <f>G25</f>
        <v/>
      </c>
      <c r="R25" s="127">
        <f>-L25</f>
        <v/>
      </c>
      <c r="S25" s="123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3">
        <f>SUMIFS(원장!$H:$H,원장!$A:$A,증감분석!$B26,원장!$D:$D,증감분석!D$9,원장!$E:$E,증감분석!D$10)</f>
        <v/>
      </c>
      <c r="E26" s="123">
        <f>SUMIFS(원장!$H:$H,원장!$A:$A,증감분석!$B26,원장!$D:$D,증감분석!E$9,원장!$E:$E,증감분석!E$10)</f>
        <v/>
      </c>
      <c r="F26" s="123">
        <f>SUMIFS(원장!$H:$H,원장!$A:$A,증감분석!$B26,원장!$D:$D,증감분석!F$9,원장!$E:$E,증감분석!F$10)</f>
        <v/>
      </c>
      <c r="G26" s="123">
        <f>SUM(D26:F26)</f>
        <v/>
      </c>
      <c r="H26" s="123">
        <f>SUMIFS(원장!$H:$H,원장!$A:$A,증감분석!$B26,원장!$D:$D,증감분석!H$9,원장!$E:$E,증감분석!H$10)</f>
        <v/>
      </c>
      <c r="I26" s="123">
        <f>SUMIFS(원장!$H:$H,원장!$A:$A,증감분석!$B26,원장!$D:$D,증감분석!I$9,원장!$E:$E,증감분석!I$10)</f>
        <v/>
      </c>
      <c r="J26" s="123">
        <f>SUMIFS(원장!$H:$H,원장!$A:$A,증감분석!$B26,원장!$D:$D,증감분석!J$9,원장!$E:$E,증감분석!J$10)</f>
        <v/>
      </c>
      <c r="K26" s="123">
        <f>SUMIFS(원장!$H:$H,원장!$A:$A,증감분석!$B26,원장!$D:$D,증감분석!K$9,원장!$E:$E,증감분석!K$10)</f>
        <v/>
      </c>
      <c r="L26" s="123">
        <f>SUM(H26:K26)</f>
        <v/>
      </c>
      <c r="M26" s="123">
        <f>G26+L26</f>
        <v/>
      </c>
      <c r="N26" s="123">
        <f>SUM($M$11:M26)</f>
        <v/>
      </c>
      <c r="P26" s="55">
        <f>B26</f>
        <v/>
      </c>
      <c r="Q26" s="123">
        <f>G26</f>
        <v/>
      </c>
      <c r="R26" s="127">
        <f>-L26</f>
        <v/>
      </c>
      <c r="S26" s="123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3">
        <f>SUMIFS(원장!$H:$H,원장!$A:$A,증감분석!$B27,원장!$D:$D,증감분석!D$9,원장!$E:$E,증감분석!D$10)</f>
        <v/>
      </c>
      <c r="E27" s="123">
        <f>SUMIFS(원장!$H:$H,원장!$A:$A,증감분석!$B27,원장!$D:$D,증감분석!E$9,원장!$E:$E,증감분석!E$10)</f>
        <v/>
      </c>
      <c r="F27" s="123">
        <f>SUMIFS(원장!$H:$H,원장!$A:$A,증감분석!$B27,원장!$D:$D,증감분석!F$9,원장!$E:$E,증감분석!F$10)</f>
        <v/>
      </c>
      <c r="G27" s="123">
        <f>SUM(D27:F27)</f>
        <v/>
      </c>
      <c r="H27" s="123">
        <f>SUMIFS(원장!$H:$H,원장!$A:$A,증감분석!$B27,원장!$D:$D,증감분석!H$9,원장!$E:$E,증감분석!H$10)</f>
        <v/>
      </c>
      <c r="I27" s="123">
        <f>SUMIFS(원장!$H:$H,원장!$A:$A,증감분석!$B27,원장!$D:$D,증감분석!I$9,원장!$E:$E,증감분석!I$10)</f>
        <v/>
      </c>
      <c r="J27" s="123">
        <f>SUMIFS(원장!$H:$H,원장!$A:$A,증감분석!$B27,원장!$D:$D,증감분석!J$9,원장!$E:$E,증감분석!J$10)</f>
        <v/>
      </c>
      <c r="K27" s="123">
        <f>SUMIFS(원장!$H:$H,원장!$A:$A,증감분석!$B27,원장!$D:$D,증감분석!K$9,원장!$E:$E,증감분석!K$10)</f>
        <v/>
      </c>
      <c r="L27" s="123">
        <f>SUM(H27:K27)</f>
        <v/>
      </c>
      <c r="M27" s="123">
        <f>G27+L27</f>
        <v/>
      </c>
      <c r="N27" s="123">
        <f>SUM($M$11:M27)</f>
        <v/>
      </c>
      <c r="P27" s="55">
        <f>B27</f>
        <v/>
      </c>
      <c r="Q27" s="123">
        <f>G27</f>
        <v/>
      </c>
      <c r="R27" s="127">
        <f>-L27</f>
        <v/>
      </c>
      <c r="S27" s="123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3">
        <f>SUMIFS(원장!$H:$H,원장!$A:$A,증감분석!$B28,원장!$D:$D,증감분석!D$9,원장!$E:$E,증감분석!D$10)</f>
        <v/>
      </c>
      <c r="E28" s="123">
        <f>SUMIFS(원장!$H:$H,원장!$A:$A,증감분석!$B28,원장!$D:$D,증감분석!E$9,원장!$E:$E,증감분석!E$10)</f>
        <v/>
      </c>
      <c r="F28" s="123">
        <f>SUMIFS(원장!$H:$H,원장!$A:$A,증감분석!$B28,원장!$D:$D,증감분석!F$9,원장!$E:$E,증감분석!F$10)</f>
        <v/>
      </c>
      <c r="G28" s="123">
        <f>SUM(D28:F28)</f>
        <v/>
      </c>
      <c r="H28" s="123">
        <f>SUMIFS(원장!$H:$H,원장!$A:$A,증감분석!$B28,원장!$D:$D,증감분석!H$9,원장!$E:$E,증감분석!H$10)</f>
        <v/>
      </c>
      <c r="I28" s="123">
        <f>SUMIFS(원장!$H:$H,원장!$A:$A,증감분석!$B28,원장!$D:$D,증감분석!I$9,원장!$E:$E,증감분석!I$10)</f>
        <v/>
      </c>
      <c r="J28" s="123">
        <f>SUMIFS(원장!$H:$H,원장!$A:$A,증감분석!$B28,원장!$D:$D,증감분석!J$9,원장!$E:$E,증감분석!J$10)</f>
        <v/>
      </c>
      <c r="K28" s="123">
        <f>SUMIFS(원장!$H:$H,원장!$A:$A,증감분석!$B28,원장!$D:$D,증감분석!K$9,원장!$E:$E,증감분석!K$10)</f>
        <v/>
      </c>
      <c r="L28" s="123">
        <f>SUM(H28:K28)</f>
        <v/>
      </c>
      <c r="M28" s="123">
        <f>G28+L28</f>
        <v/>
      </c>
      <c r="N28" s="123">
        <f>SUM($M$11:M28)</f>
        <v/>
      </c>
      <c r="P28" s="55">
        <f>B28</f>
        <v/>
      </c>
      <c r="Q28" s="123">
        <f>G28</f>
        <v/>
      </c>
      <c r="R28" s="127">
        <f>-L28</f>
        <v/>
      </c>
      <c r="S28" s="123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3">
        <f>SUMIFS(원장!$H:$H,원장!$A:$A,증감분석!$B29,원장!$D:$D,증감분석!D$9,원장!$E:$E,증감분석!D$10)</f>
        <v/>
      </c>
      <c r="E29" s="123">
        <f>SUMIFS(원장!$H:$H,원장!$A:$A,증감분석!$B29,원장!$D:$D,증감분석!E$9,원장!$E:$E,증감분석!E$10)</f>
        <v/>
      </c>
      <c r="F29" s="123">
        <f>SUMIFS(원장!$H:$H,원장!$A:$A,증감분석!$B29,원장!$D:$D,증감분석!F$9,원장!$E:$E,증감분석!F$10)</f>
        <v/>
      </c>
      <c r="G29" s="123">
        <f>SUM(D29:F29)</f>
        <v/>
      </c>
      <c r="H29" s="123">
        <f>SUMIFS(원장!$H:$H,원장!$A:$A,증감분석!$B29,원장!$D:$D,증감분석!H$9,원장!$E:$E,증감분석!H$10)</f>
        <v/>
      </c>
      <c r="I29" s="123">
        <f>SUMIFS(원장!$H:$H,원장!$A:$A,증감분석!$B29,원장!$D:$D,증감분석!I$9,원장!$E:$E,증감분석!I$10)</f>
        <v/>
      </c>
      <c r="J29" s="123">
        <f>SUMIFS(원장!$H:$H,원장!$A:$A,증감분석!$B29,원장!$D:$D,증감분석!J$9,원장!$E:$E,증감분석!J$10)</f>
        <v/>
      </c>
      <c r="K29" s="123">
        <f>SUMIFS(원장!$H:$H,원장!$A:$A,증감분석!$B29,원장!$D:$D,증감분석!K$9,원장!$E:$E,증감분석!K$10)</f>
        <v/>
      </c>
      <c r="L29" s="123">
        <f>SUM(H29:K29)</f>
        <v/>
      </c>
      <c r="M29" s="123">
        <f>G29+L29</f>
        <v/>
      </c>
      <c r="N29" s="123">
        <f>SUM($M$11:M29)</f>
        <v/>
      </c>
      <c r="P29" s="55">
        <f>B29</f>
        <v/>
      </c>
      <c r="Q29" s="123">
        <f>G29</f>
        <v/>
      </c>
      <c r="R29" s="127">
        <f>-L29</f>
        <v/>
      </c>
      <c r="S29" s="123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3">
        <f>SUMIFS(원장!$H:$H,원장!$A:$A,증감분석!$B30,원장!$D:$D,증감분석!D$9,원장!$E:$E,증감분석!D$10)</f>
        <v/>
      </c>
      <c r="E30" s="123">
        <f>SUMIFS(원장!$H:$H,원장!$A:$A,증감분석!$B30,원장!$D:$D,증감분석!E$9,원장!$E:$E,증감분석!E$10)</f>
        <v/>
      </c>
      <c r="F30" s="123">
        <f>SUMIFS(원장!$H:$H,원장!$A:$A,증감분석!$B30,원장!$D:$D,증감분석!F$9,원장!$E:$E,증감분석!F$10)</f>
        <v/>
      </c>
      <c r="G30" s="123">
        <f>SUM(D30:F30)</f>
        <v/>
      </c>
      <c r="H30" s="123">
        <f>SUMIFS(원장!$H:$H,원장!$A:$A,증감분석!$B30,원장!$D:$D,증감분석!H$9,원장!$E:$E,증감분석!H$10)</f>
        <v/>
      </c>
      <c r="I30" s="123">
        <f>SUMIFS(원장!$H:$H,원장!$A:$A,증감분석!$B30,원장!$D:$D,증감분석!I$9,원장!$E:$E,증감분석!I$10)</f>
        <v/>
      </c>
      <c r="J30" s="123">
        <f>SUMIFS(원장!$H:$H,원장!$A:$A,증감분석!$B30,원장!$D:$D,증감분석!J$9,원장!$E:$E,증감분석!J$10)</f>
        <v/>
      </c>
      <c r="K30" s="123">
        <f>SUMIFS(원장!$H:$H,원장!$A:$A,증감분석!$B30,원장!$D:$D,증감분석!K$9,원장!$E:$E,증감분석!K$10)</f>
        <v/>
      </c>
      <c r="L30" s="123">
        <f>SUM(H30:K30)</f>
        <v/>
      </c>
      <c r="M30" s="123">
        <f>G30+L30</f>
        <v/>
      </c>
      <c r="N30" s="123">
        <f>SUM($M$11:M30)</f>
        <v/>
      </c>
      <c r="P30" s="55">
        <f>B30</f>
        <v/>
      </c>
      <c r="Q30" s="123">
        <f>G30</f>
        <v/>
      </c>
      <c r="R30" s="127">
        <f>-L30</f>
        <v/>
      </c>
      <c r="S30" s="123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3">
        <f>SUMIFS(원장!$H:$H,원장!$A:$A,증감분석!$B31,원장!$D:$D,증감분석!D$9,원장!$E:$E,증감분석!D$10)</f>
        <v/>
      </c>
      <c r="E31" s="123">
        <f>SUMIFS(원장!$H:$H,원장!$A:$A,증감분석!$B31,원장!$D:$D,증감분석!E$9,원장!$E:$E,증감분석!E$10)</f>
        <v/>
      </c>
      <c r="F31" s="123">
        <f>SUMIFS(원장!$H:$H,원장!$A:$A,증감분석!$B31,원장!$D:$D,증감분석!F$9,원장!$E:$E,증감분석!F$10)</f>
        <v/>
      </c>
      <c r="G31" s="123">
        <f>SUM(D31:F31)</f>
        <v/>
      </c>
      <c r="H31" s="123">
        <f>SUMIFS(원장!$H:$H,원장!$A:$A,증감분석!$B31,원장!$D:$D,증감분석!H$9,원장!$E:$E,증감분석!H$10)</f>
        <v/>
      </c>
      <c r="I31" s="123">
        <f>SUMIFS(원장!$H:$H,원장!$A:$A,증감분석!$B31,원장!$D:$D,증감분석!I$9,원장!$E:$E,증감분석!I$10)</f>
        <v/>
      </c>
      <c r="J31" s="123">
        <f>SUMIFS(원장!$H:$H,원장!$A:$A,증감분석!$B31,원장!$D:$D,증감분석!J$9,원장!$E:$E,증감분석!J$10)</f>
        <v/>
      </c>
      <c r="K31" s="123">
        <f>SUMIFS(원장!$H:$H,원장!$A:$A,증감분석!$B31,원장!$D:$D,증감분석!K$9,원장!$E:$E,증감분석!K$10)</f>
        <v/>
      </c>
      <c r="L31" s="123">
        <f>SUM(H31:K31)</f>
        <v/>
      </c>
      <c r="M31" s="123">
        <f>G31+L31</f>
        <v/>
      </c>
      <c r="N31" s="123">
        <f>SUM($M$11:M31)</f>
        <v/>
      </c>
      <c r="P31" s="55">
        <f>B31</f>
        <v/>
      </c>
      <c r="Q31" s="123">
        <f>G31</f>
        <v/>
      </c>
      <c r="R31" s="127">
        <f>-L31</f>
        <v/>
      </c>
      <c r="S31" s="123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3">
        <f>SUMIFS(원장!$H:$H,원장!$A:$A,증감분석!$B32,원장!$D:$D,증감분석!D$9,원장!$E:$E,증감분석!D$10)</f>
        <v/>
      </c>
      <c r="E32" s="123">
        <f>SUMIFS(원장!$H:$H,원장!$A:$A,증감분석!$B32,원장!$D:$D,증감분석!E$9,원장!$E:$E,증감분석!E$10)</f>
        <v/>
      </c>
      <c r="F32" s="123">
        <f>SUMIFS(원장!$H:$H,원장!$A:$A,증감분석!$B32,원장!$D:$D,증감분석!F$9,원장!$E:$E,증감분석!F$10)</f>
        <v/>
      </c>
      <c r="G32" s="123">
        <f>SUM(D32:F32)</f>
        <v/>
      </c>
      <c r="H32" s="123">
        <f>SUMIFS(원장!$H:$H,원장!$A:$A,증감분석!$B32,원장!$D:$D,증감분석!H$9,원장!$E:$E,증감분석!H$10)</f>
        <v/>
      </c>
      <c r="I32" s="123">
        <f>SUMIFS(원장!$H:$H,원장!$A:$A,증감분석!$B32,원장!$D:$D,증감분석!I$9,원장!$E:$E,증감분석!I$10)</f>
        <v/>
      </c>
      <c r="J32" s="123">
        <f>SUMIFS(원장!$H:$H,원장!$A:$A,증감분석!$B32,원장!$D:$D,증감분석!J$9,원장!$E:$E,증감분석!J$10)</f>
        <v/>
      </c>
      <c r="K32" s="123">
        <f>SUMIFS(원장!$H:$H,원장!$A:$A,증감분석!$B32,원장!$D:$D,증감분석!K$9,원장!$E:$E,증감분석!K$10)</f>
        <v/>
      </c>
      <c r="L32" s="123">
        <f>SUM(H32:K32)</f>
        <v/>
      </c>
      <c r="M32" s="123">
        <f>G32+L32</f>
        <v/>
      </c>
      <c r="N32" s="123">
        <f>SUM($M$11:M32)</f>
        <v/>
      </c>
      <c r="P32" s="55">
        <f>B32</f>
        <v/>
      </c>
      <c r="Q32" s="123">
        <f>G32</f>
        <v/>
      </c>
      <c r="R32" s="127">
        <f>-L32</f>
        <v/>
      </c>
      <c r="S32" s="123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8">
        <f>회비입출내역!$G$4</f>
        <v/>
      </c>
      <c r="G10" s="129">
        <f>회비입출내역!$D$4</f>
        <v/>
      </c>
      <c r="H10" s="130">
        <f>증감분석!$G$5</f>
        <v/>
      </c>
      <c r="I10" s="130">
        <f>증감분석!$G$6</f>
        <v/>
      </c>
      <c r="J10" s="130">
        <f>증감분석!$G$7</f>
        <v/>
      </c>
      <c r="K10" s="131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2">
        <f>회비입출내역!$G$9</f>
        <v/>
      </c>
      <c r="G11" s="133">
        <f>회비입출내역!$D$9</f>
        <v/>
      </c>
      <c r="H11" s="123">
        <f>증감분석!$L$5</f>
        <v/>
      </c>
      <c r="I11" s="123">
        <f>증감분석!$L$6</f>
        <v/>
      </c>
      <c r="J11" s="123">
        <f>증감분석!$L$7</f>
        <v/>
      </c>
      <c r="K11" s="134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5">
        <f>SUM(F10:F11)</f>
        <v/>
      </c>
      <c r="G12" s="127">
        <f>SUM(G10:G11)</f>
        <v/>
      </c>
      <c r="H12" s="127">
        <f>SUM(H10:H11)</f>
        <v/>
      </c>
      <c r="I12" s="127">
        <f>SUM(I10:I11)</f>
        <v/>
      </c>
      <c r="J12" s="127">
        <f>SUM(J10:J11)</f>
        <v/>
      </c>
      <c r="K12" s="123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지엽 옥</dc:creator>
  <dcterms:created xmlns:dcterms="http://purl.org/dc/terms/" xmlns:xsi="http://www.w3.org/2001/XMLSchema-instance" xsi:type="dcterms:W3CDTF">2024-12-01T00:42:40Z</dcterms:created>
  <dcterms:modified xmlns:dcterms="http://purl.org/dc/terms/" xmlns:xsi="http://www.w3.org/2001/XMLSchema-instance" xsi:type="dcterms:W3CDTF">2026-07-01T14:25:04Z</dcterms:modified>
  <cp:lastModifiedBy>지엽 옥</cp:lastModifiedBy>
  <cp:lastPrinted>2026-02-01T17:37:22Z</cp:lastPrinted>
</cp:coreProperties>
</file>