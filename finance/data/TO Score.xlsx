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입금현황" sheetId="1" state="visible" r:id="rId1"/>
    <sheet xmlns:r="http://schemas.openxmlformats.org/officeDocument/2006/relationships" name="회비입출내역" sheetId="2" state="visible" r:id="rId2"/>
    <sheet xmlns:r="http://schemas.openxmlformats.org/officeDocument/2006/relationships" name="원장" sheetId="3" state="visible" r:id="rId3"/>
    <sheet xmlns:r="http://schemas.openxmlformats.org/officeDocument/2006/relationships" name="증감분석" sheetId="4" state="visible" r:id="rId4"/>
    <sheet xmlns:r="http://schemas.openxmlformats.org/officeDocument/2006/relationships" name="증감분석차트" sheetId="5" state="visible" r:id="rId5"/>
    <sheet xmlns:r="http://schemas.openxmlformats.org/officeDocument/2006/relationships" name="참고" sheetId="6" state="visible" r:id="rId6"/>
    <sheet xmlns:r="http://schemas.openxmlformats.org/officeDocument/2006/relationships" name="주요정보" sheetId="7" state="visible" r:id="rId7"/>
    <sheet xmlns:r="http://schemas.openxmlformats.org/officeDocument/2006/relationships" name="참조" sheetId="8" state="hidden" r:id="rId8"/>
  </sheets>
  <definedNames>
    <definedName name="_xlnm.Print_Area" localSheetId="1">'회비입출내역'!$A$2:$J$15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[Red]\(#,##0\);&quot;-&quot;"/>
    <numFmt numFmtId="165" formatCode="yyyy\-mm\-dd\ h:mm:ss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바른고딕"/>
      <charset val="129"/>
      <family val="3"/>
      <color theme="1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2"/>
      <color theme="1"/>
      <sz val="12"/>
      <scheme val="minor"/>
    </font>
    <font>
      <name val="나눔바른고딕"/>
      <charset val="129"/>
      <family val="3"/>
      <color theme="1"/>
      <sz val="12"/>
    </font>
    <font>
      <name val="나눔바른고딕"/>
      <charset val="129"/>
      <family val="3"/>
      <color theme="1"/>
      <sz val="14"/>
    </font>
    <font>
      <name val="나눔바른고딕"/>
      <charset val="129"/>
      <family val="3"/>
      <color theme="1"/>
      <sz val="13"/>
    </font>
    <font>
      <name val="나눔바른고딕"/>
      <charset val="129"/>
      <family val="3"/>
      <b val="1"/>
      <color theme="1"/>
      <sz val="10"/>
    </font>
    <font>
      <name val="나눔바른고딕"/>
      <charset val="129"/>
      <family val="3"/>
      <b val="1"/>
      <color rgb="FF0000FF"/>
      <sz val="11"/>
    </font>
    <font>
      <name val="나눔바른고딕"/>
      <charset val="129"/>
      <family val="3"/>
      <b val="1"/>
      <color theme="1"/>
      <sz val="11"/>
    </font>
  </fonts>
  <fills count="9">
    <fill>
      <patternFill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lightUp"/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140">
    <xf numFmtId="0" fontId="0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2" borderId="4" applyAlignment="1" pivotButton="0" quotePrefix="0" xfId="1">
      <alignment horizontal="center" vertical="center"/>
    </xf>
    <xf numFmtId="0" fontId="2" fillId="4" borderId="1" applyAlignment="1" pivotButton="0" quotePrefix="0" xfId="1">
      <alignment horizontal="center" vertical="center"/>
    </xf>
    <xf numFmtId="0" fontId="2" fillId="4" borderId="2" applyAlignment="1" pivotButton="0" quotePrefix="0" xfId="1">
      <alignment horizontal="center" vertical="center"/>
    </xf>
    <xf numFmtId="0" fontId="2" fillId="5" borderId="4" applyAlignment="1" pivotButton="0" quotePrefix="0" xfId="1">
      <alignment horizontal="center" vertical="center"/>
    </xf>
    <xf numFmtId="0" fontId="2" fillId="6" borderId="0" applyAlignment="1" pivotButton="0" quotePrefix="0" xfId="1">
      <alignment horizontal="center" vertical="center"/>
    </xf>
    <xf numFmtId="0" fontId="2" fillId="2" borderId="2" applyAlignment="1" pivotButton="0" quotePrefix="0" xfId="0">
      <alignment horizontal="centerContinuous" vertical="center"/>
    </xf>
    <xf numFmtId="14" fontId="2" fillId="6" borderId="2" applyAlignment="1" pivotButton="0" quotePrefix="0" xfId="1">
      <alignment horizontal="center" vertical="center"/>
    </xf>
    <xf numFmtId="164" fontId="2" fillId="6" borderId="2" applyAlignment="1" pivotButton="0" quotePrefix="0" xfId="1">
      <alignment horizontal="right" vertical="center"/>
    </xf>
    <xf numFmtId="14" fontId="2" fillId="6" borderId="2" applyAlignment="1" pivotButton="0" quotePrefix="0" xfId="1">
      <alignment horizontal="left" vertical="center"/>
    </xf>
    <xf numFmtId="164" fontId="2" fillId="4" borderId="2" applyAlignment="1" pivotButton="0" quotePrefix="0" xfId="1">
      <alignment horizontal="right" vertical="center"/>
    </xf>
    <xf numFmtId="0" fontId="4" fillId="0" borderId="0" applyAlignment="1" pivotButton="0" quotePrefix="0" xfId="0">
      <alignment vertical="center"/>
    </xf>
    <xf numFmtId="0" fontId="5" fillId="6" borderId="0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 wrapText="1"/>
    </xf>
    <xf numFmtId="164" fontId="5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2" fillId="6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5" fillId="4" borderId="5" applyAlignment="1" pivotButton="0" quotePrefix="0" xfId="0">
      <alignment vertical="center"/>
    </xf>
    <xf numFmtId="164" fontId="5" fillId="0" borderId="6" applyAlignment="1" pivotButton="0" quotePrefix="0" xfId="0">
      <alignment horizontal="right" vertical="center" wrapText="1"/>
    </xf>
    <xf numFmtId="164" fontId="5" fillId="0" borderId="5" applyAlignment="1" pivotButton="0" quotePrefix="0" xfId="0">
      <alignment horizontal="right" vertical="center" wrapText="1"/>
    </xf>
    <xf numFmtId="164" fontId="5" fillId="0" borderId="7" applyAlignment="1" pivotButton="0" quotePrefix="0" xfId="0">
      <alignment vertical="center"/>
    </xf>
    <xf numFmtId="164" fontId="5" fillId="4" borderId="5" applyAlignment="1" pivotButton="0" quotePrefix="0" xfId="0">
      <alignment vertical="center"/>
    </xf>
    <xf numFmtId="0" fontId="6" fillId="7" borderId="5" applyAlignment="1" pivotButton="0" quotePrefix="0" xfId="0">
      <alignment horizontal="centerContinuous" vertical="center"/>
    </xf>
    <xf numFmtId="0" fontId="6" fillId="7" borderId="2" applyAlignment="1" pivotButton="0" quotePrefix="0" xfId="0">
      <alignment horizontal="centerContinuous" vertical="center"/>
    </xf>
    <xf numFmtId="0" fontId="6" fillId="7" borderId="6" applyAlignment="1" pivotButton="0" quotePrefix="0" xfId="0">
      <alignment horizontal="centerContinuous" vertical="center"/>
    </xf>
    <xf numFmtId="164" fontId="7" fillId="4" borderId="7" applyAlignment="1" pivotButton="0" quotePrefix="0" xfId="0">
      <alignment vertical="center"/>
    </xf>
    <xf numFmtId="164" fontId="7" fillId="4" borderId="6" applyAlignment="1" pivotButton="0" quotePrefix="0" xfId="0">
      <alignment vertical="center"/>
    </xf>
    <xf numFmtId="164" fontId="7" fillId="4" borderId="2" applyAlignment="1" pivotButton="0" quotePrefix="0" xfId="0">
      <alignment vertical="center"/>
    </xf>
    <xf numFmtId="0" fontId="7" fillId="4" borderId="6" applyAlignment="1" pivotButton="0" quotePrefix="0" xfId="0">
      <alignment vertical="center"/>
    </xf>
    <xf numFmtId="0" fontId="7" fillId="4" borderId="2" applyAlignment="1" pivotButton="0" quotePrefix="0" xfId="0">
      <alignment vertical="center"/>
    </xf>
    <xf numFmtId="164" fontId="7" fillId="4" borderId="8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164" fontId="5" fillId="0" borderId="9" applyAlignment="1" pivotButton="0" quotePrefix="0" xfId="0">
      <alignment horizontal="right" vertical="center" wrapText="1"/>
    </xf>
    <xf numFmtId="0" fontId="5" fillId="0" borderId="6" applyAlignment="1" pivotButton="0" quotePrefix="0" xfId="0">
      <alignment vertical="center"/>
    </xf>
    <xf numFmtId="0" fontId="6" fillId="7" borderId="6" applyAlignment="1" pivotButton="0" quotePrefix="0" xfId="0">
      <alignment horizontal="center" vertical="center"/>
    </xf>
    <xf numFmtId="0" fontId="6" fillId="7" borderId="6" applyAlignment="1" pivotButton="0" quotePrefix="0" xfId="0">
      <alignment vertical="center"/>
    </xf>
    <xf numFmtId="164" fontId="5" fillId="0" borderId="9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Continuous" vertical="center"/>
    </xf>
    <xf numFmtId="0" fontId="6" fillId="0" borderId="8" applyAlignment="1" pivotButton="0" quotePrefix="0" xfId="0">
      <alignment vertical="center"/>
    </xf>
    <xf numFmtId="0" fontId="6" fillId="0" borderId="5" applyAlignment="1" pivotButton="0" quotePrefix="0" xfId="0">
      <alignment horizontal="centerContinuous" vertical="center"/>
    </xf>
    <xf numFmtId="0" fontId="6" fillId="0" borderId="7" applyAlignment="1" pivotButton="0" quotePrefix="0" xfId="0">
      <alignment horizontal="centerContinuous" vertical="center"/>
    </xf>
    <xf numFmtId="0" fontId="6" fillId="0" borderId="8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Continuous" vertical="center"/>
    </xf>
    <xf numFmtId="0" fontId="2" fillId="0" borderId="0" applyAlignment="1" pivotButton="0" quotePrefix="0" xfId="0">
      <alignment vertical="center"/>
    </xf>
    <xf numFmtId="0" fontId="2" fillId="2" borderId="10" applyAlignment="1" pivotButton="0" quotePrefix="0" xfId="1">
      <alignment horizontal="center" vertical="center"/>
    </xf>
    <xf numFmtId="0" fontId="2" fillId="0" borderId="2" applyAlignment="1" pivotButton="0" quotePrefix="0" xfId="0">
      <alignment vertical="center"/>
    </xf>
    <xf numFmtId="0" fontId="2" fillId="2" borderId="2" applyAlignment="1" pivotButton="0" quotePrefix="0" xfId="1">
      <alignment horizontal="center" vertical="center"/>
    </xf>
    <xf numFmtId="0" fontId="2" fillId="2" borderId="11" applyAlignment="1" pivotButton="0" quotePrefix="0" xfId="1">
      <alignment horizontal="center" vertical="center"/>
    </xf>
    <xf numFmtId="0" fontId="2" fillId="4" borderId="10" applyAlignment="1" pivotButton="0" quotePrefix="0" xfId="1">
      <alignment horizontal="center" vertical="center"/>
    </xf>
    <xf numFmtId="164" fontId="2" fillId="0" borderId="2" applyAlignment="1" pivotButton="0" quotePrefix="0" xfId="0">
      <alignment vertical="center"/>
    </xf>
    <xf numFmtId="0" fontId="2" fillId="2" borderId="2" applyAlignment="1" pivotButton="0" quotePrefix="0" xfId="1">
      <alignment horizontal="centerContinuous" vertical="center"/>
    </xf>
    <xf numFmtId="0" fontId="2" fillId="2" borderId="10" applyAlignment="1" pivotButton="0" quotePrefix="0" xfId="1">
      <alignment horizontal="centerContinuous" vertical="center"/>
    </xf>
    <xf numFmtId="164" fontId="2" fillId="0" borderId="6" applyAlignment="1" pivotButton="0" quotePrefix="0" xfId="0">
      <alignment vertical="center"/>
    </xf>
    <xf numFmtId="0" fontId="2" fillId="4" borderId="11" applyAlignment="1" pivotButton="0" quotePrefix="0" xfId="1">
      <alignment horizontal="center" vertical="center"/>
    </xf>
    <xf numFmtId="0" fontId="2" fillId="4" borderId="12" applyAlignment="1" pivotButton="0" quotePrefix="0" xfId="1">
      <alignment horizontal="center" vertical="center"/>
    </xf>
    <xf numFmtId="0" fontId="5" fillId="0" borderId="8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14" fontId="0" fillId="4" borderId="0" applyAlignment="1" pivotButton="0" quotePrefix="0" xfId="0">
      <alignment vertical="center"/>
    </xf>
    <xf numFmtId="164" fontId="8" fillId="0" borderId="2" applyAlignment="1" pivotButton="0" quotePrefix="0" xfId="0">
      <alignment vertical="center"/>
    </xf>
    <xf numFmtId="0" fontId="9" fillId="8" borderId="2" applyAlignment="1" pivotButton="0" quotePrefix="0" xfId="0">
      <alignment vertical="center"/>
    </xf>
    <xf numFmtId="164" fontId="9" fillId="8" borderId="2" applyAlignment="1" pivotButton="0" quotePrefix="0" xfId="0">
      <alignment vertical="center"/>
    </xf>
    <xf numFmtId="164" fontId="10" fillId="8" borderId="2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2" borderId="6" applyAlignment="1" pivotButton="0" quotePrefix="0" xfId="0">
      <alignment horizontal="center" vertical="center"/>
    </xf>
    <xf numFmtId="164" fontId="2" fillId="0" borderId="8" applyAlignment="1" pivotButton="0" quotePrefix="0" xfId="0">
      <alignment vertical="center"/>
    </xf>
    <xf numFmtId="164" fontId="2" fillId="0" borderId="12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9" fillId="2" borderId="14" applyAlignment="1" pivotButton="0" quotePrefix="0" xfId="0">
      <alignment horizontal="center" vertical="center"/>
    </xf>
    <xf numFmtId="164" fontId="9" fillId="0" borderId="15" applyAlignment="1" pivotButton="0" quotePrefix="0" xfId="0">
      <alignment vertical="center"/>
    </xf>
    <xf numFmtId="164" fontId="9" fillId="0" borderId="16" applyAlignment="1" pivotButton="0" quotePrefix="0" xfId="0">
      <alignment vertical="center"/>
    </xf>
    <xf numFmtId="164" fontId="9" fillId="0" borderId="17" applyAlignment="1" pivotButton="0" quotePrefix="0" xfId="0">
      <alignment vertical="center"/>
    </xf>
    <xf numFmtId="164" fontId="2" fillId="6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3" borderId="20" applyAlignment="1" pivotButton="0" quotePrefix="0" xfId="0">
      <alignment vertical="center"/>
    </xf>
    <xf numFmtId="0" fontId="2" fillId="3" borderId="20" applyAlignment="1" pivotButton="0" quotePrefix="0" xfId="0">
      <alignment horizontal="center" vertical="center"/>
    </xf>
    <xf numFmtId="165" fontId="0" fillId="0" borderId="0" pivotButton="0" quotePrefix="0" xfId="0"/>
    <xf numFmtId="164" fontId="2" fillId="6" borderId="2" applyAlignment="1" pivotButton="0" quotePrefix="0" xfId="0">
      <alignment horizontal="center" vertical="center"/>
    </xf>
    <xf numFmtId="164" fontId="2" fillId="4" borderId="2" applyAlignment="1" pivotButton="0" quotePrefix="0" xfId="0">
      <alignment vertical="center"/>
    </xf>
    <xf numFmtId="164" fontId="2" fillId="6" borderId="2" applyAlignment="1" pivotButton="0" quotePrefix="0" xfId="0">
      <alignment vertical="center"/>
    </xf>
    <xf numFmtId="164" fontId="7" fillId="4" borderId="8" applyAlignment="1" pivotButton="0" quotePrefix="0" xfId="0">
      <alignment vertical="center"/>
    </xf>
    <xf numFmtId="164" fontId="5" fillId="4" borderId="5" applyAlignment="1" pivotButton="0" quotePrefix="0" xfId="0">
      <alignment vertical="center"/>
    </xf>
    <xf numFmtId="164" fontId="7" fillId="4" borderId="7" applyAlignment="1" pivotButton="0" quotePrefix="0" xfId="0">
      <alignment vertical="center"/>
    </xf>
    <xf numFmtId="164" fontId="7" fillId="4" borderId="6" applyAlignment="1" pivotButton="0" quotePrefix="0" xfId="0">
      <alignment vertical="center"/>
    </xf>
    <xf numFmtId="164" fontId="7" fillId="4" borderId="2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164" fontId="5" fillId="0" borderId="5" applyAlignment="1" pivotButton="0" quotePrefix="0" xfId="0">
      <alignment horizontal="right" vertical="center" wrapText="1"/>
    </xf>
    <xf numFmtId="164" fontId="5" fillId="0" borderId="7" applyAlignment="1" pivotButton="0" quotePrefix="0" xfId="0">
      <alignment vertical="center"/>
    </xf>
    <xf numFmtId="164" fontId="5" fillId="0" borderId="6" applyAlignment="1" pivotButton="0" quotePrefix="0" xfId="0">
      <alignment horizontal="right" vertical="center" wrapText="1"/>
    </xf>
    <xf numFmtId="164" fontId="5" fillId="0" borderId="2" applyAlignment="1" pivotButton="0" quotePrefix="0" xfId="0">
      <alignment vertical="center"/>
    </xf>
    <xf numFmtId="164" fontId="5" fillId="0" borderId="2" applyAlignment="1" pivotButton="0" quotePrefix="0" xfId="0">
      <alignment horizontal="right" vertical="center" wrapText="1"/>
    </xf>
    <xf numFmtId="164" fontId="5" fillId="0" borderId="9" applyAlignment="1" pivotButton="0" quotePrefix="0" xfId="0">
      <alignment vertical="center" wrapText="1"/>
    </xf>
    <xf numFmtId="164" fontId="5" fillId="0" borderId="9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2" fillId="6" borderId="2" applyAlignment="1" pivotButton="0" quotePrefix="0" xfId="1">
      <alignment horizontal="right" vertical="center"/>
    </xf>
    <xf numFmtId="164" fontId="2" fillId="4" borderId="2" applyAlignment="1" pivotButton="0" quotePrefix="0" xfId="1">
      <alignment horizontal="right" vertical="center"/>
    </xf>
    <xf numFmtId="165" fontId="0" fillId="0" borderId="0" pivotButton="0" quotePrefix="0" xfId="0"/>
    <xf numFmtId="164" fontId="2" fillId="0" borderId="2" applyAlignment="1" pivotButton="0" quotePrefix="0" xfId="0">
      <alignment vertical="center"/>
    </xf>
    <xf numFmtId="164" fontId="8" fillId="0" borderId="2" applyAlignment="1" pivotButton="0" quotePrefix="0" xfId="0">
      <alignment vertical="center"/>
    </xf>
    <xf numFmtId="164" fontId="9" fillId="8" borderId="2" applyAlignment="1" pivotButton="0" quotePrefix="0" xfId="0">
      <alignment vertical="center"/>
    </xf>
    <xf numFmtId="164" fontId="10" fillId="8" borderId="2" applyAlignment="1" pivotButton="0" quotePrefix="0" xfId="0">
      <alignment vertical="center"/>
    </xf>
    <xf numFmtId="164" fontId="2" fillId="0" borderId="6" applyAlignment="1" pivotButton="0" quotePrefix="0" xfId="0">
      <alignment vertical="center"/>
    </xf>
    <xf numFmtId="164" fontId="9" fillId="0" borderId="15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9" fillId="0" borderId="16" applyAlignment="1" pivotButton="0" quotePrefix="0" xfId="0">
      <alignment vertical="center"/>
    </xf>
    <xf numFmtId="164" fontId="2" fillId="0" borderId="12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164" fontId="9" fillId="0" borderId="17" applyAlignment="1" pivotButton="0" quotePrefix="0" xfId="0">
      <alignment vertical="center"/>
    </xf>
    <xf numFmtId="14" fontId="2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14" fontId="2" fillId="6" borderId="2" applyAlignment="1" pivotButton="0" quotePrefix="0" xfId="0">
      <alignment horizontal="left" vertical="center"/>
    </xf>
  </cellXfs>
  <cellStyles count="2">
    <cellStyle name="표준" xfId="0" builtinId="0"/>
    <cellStyle name="표준 2" xfId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/>
              <a:t>회비 입출내역 및 변동추이</a:t>
            </a:r>
            <a:endParaRPr lang="ko-K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증감분석!$Q$10</f>
              <strCache>
                <ptCount val="1"/>
                <pt idx="0">
                  <v>입금</v>
                </pt>
              </strCache>
            </strRef>
          </tx>
          <spPr>
            <a:ln xmlns:a="http://schemas.openxmlformats.org/drawingml/2006/main"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증감분석!$P$11:$P$32</f>
              <strCache>
                <ptCount val="22"/>
                <pt idx="0">
                  <v>24년 6월</v>
                </pt>
                <pt idx="1">
                  <v>24년 7월</v>
                </pt>
                <pt idx="2">
                  <v>24년 8월</v>
                </pt>
                <pt idx="3">
                  <v>24년 9월</v>
                </pt>
                <pt idx="4">
                  <v>24년 10월</v>
                </pt>
                <pt idx="5">
                  <v>24년 11월</v>
                </pt>
                <pt idx="6">
                  <v>24년 12월</v>
                </pt>
                <pt idx="7">
                  <v>25년 1월</v>
                </pt>
                <pt idx="8">
                  <v>25년 2월</v>
                </pt>
                <pt idx="9">
                  <v>25년 3월</v>
                </pt>
                <pt idx="10">
                  <v>25년 4월</v>
                </pt>
                <pt idx="11">
                  <v>25년 5월</v>
                </pt>
                <pt idx="12">
                  <v>25년 6월</v>
                </pt>
                <pt idx="13">
                  <v>25년 7월</v>
                </pt>
                <pt idx="14">
                  <v>25년 8월</v>
                </pt>
                <pt idx="15">
                  <v>25년 9월</v>
                </pt>
                <pt idx="16">
                  <v>25년 10월</v>
                </pt>
                <pt idx="17">
                  <v>25년 11월</v>
                </pt>
                <pt idx="18">
                  <v>25년 12월</v>
                </pt>
                <pt idx="19">
                  <v>26년 1월</v>
                </pt>
                <pt idx="20">
                  <v>26년 2월</v>
                </pt>
                <pt idx="21">
                  <v>26년 3월</v>
                </pt>
              </strCache>
            </strRef>
          </cat>
          <val>
            <numRef>
              <f>증감분석!$Q$11:$Q$32</f>
              <numCache>
                <formatCode>#,##0;[Red]\(#,##0\);"-"</formatCode>
                <ptCount val="2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증감분석!$R$10</f>
              <strCache>
                <ptCount val="1"/>
                <pt idx="0">
                  <v>출금</v>
                </pt>
              </strCache>
            </strRef>
          </tx>
          <spPr>
            <a:ln xmlns:a="http://schemas.openxmlformats.org/drawingml/2006/main"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증감분석!$P$11:$P$32</f>
              <strCache>
                <ptCount val="22"/>
                <pt idx="0">
                  <v>24년 6월</v>
                </pt>
                <pt idx="1">
                  <v>24년 7월</v>
                </pt>
                <pt idx="2">
                  <v>24년 8월</v>
                </pt>
                <pt idx="3">
                  <v>24년 9월</v>
                </pt>
                <pt idx="4">
                  <v>24년 10월</v>
                </pt>
                <pt idx="5">
                  <v>24년 11월</v>
                </pt>
                <pt idx="6">
                  <v>24년 12월</v>
                </pt>
                <pt idx="7">
                  <v>25년 1월</v>
                </pt>
                <pt idx="8">
                  <v>25년 2월</v>
                </pt>
                <pt idx="9">
                  <v>25년 3월</v>
                </pt>
                <pt idx="10">
                  <v>25년 4월</v>
                </pt>
                <pt idx="11">
                  <v>25년 5월</v>
                </pt>
                <pt idx="12">
                  <v>25년 6월</v>
                </pt>
                <pt idx="13">
                  <v>25년 7월</v>
                </pt>
                <pt idx="14">
                  <v>25년 8월</v>
                </pt>
                <pt idx="15">
                  <v>25년 9월</v>
                </pt>
                <pt idx="16">
                  <v>25년 10월</v>
                </pt>
                <pt idx="17">
                  <v>25년 11월</v>
                </pt>
                <pt idx="18">
                  <v>25년 12월</v>
                </pt>
                <pt idx="19">
                  <v>26년 1월</v>
                </pt>
                <pt idx="20">
                  <v>26년 2월</v>
                </pt>
                <pt idx="21">
                  <v>26년 3월</v>
                </pt>
              </strCache>
            </strRef>
          </cat>
          <val>
            <numRef>
              <f>증감분석!$R$11:$R$32</f>
              <numCache>
                <formatCode>#,##0;[Red]\(#,##0\);"-"</formatCode>
                <ptCount val="2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증감분석!$S$10</f>
              <strCache>
                <ptCount val="1"/>
                <pt idx="0">
                  <v>누적</v>
                </pt>
              </strCache>
            </strRef>
          </tx>
          <spPr>
            <a:ln xmlns:a="http://schemas.openxmlformats.org/drawingml/2006/main" w="3810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증감분석!$P$11:$P$32</f>
              <strCache>
                <ptCount val="22"/>
                <pt idx="0">
                  <v>24년 6월</v>
                </pt>
                <pt idx="1">
                  <v>24년 7월</v>
                </pt>
                <pt idx="2">
                  <v>24년 8월</v>
                </pt>
                <pt idx="3">
                  <v>24년 9월</v>
                </pt>
                <pt idx="4">
                  <v>24년 10월</v>
                </pt>
                <pt idx="5">
                  <v>24년 11월</v>
                </pt>
                <pt idx="6">
                  <v>24년 12월</v>
                </pt>
                <pt idx="7">
                  <v>25년 1월</v>
                </pt>
                <pt idx="8">
                  <v>25년 2월</v>
                </pt>
                <pt idx="9">
                  <v>25년 3월</v>
                </pt>
                <pt idx="10">
                  <v>25년 4월</v>
                </pt>
                <pt idx="11">
                  <v>25년 5월</v>
                </pt>
                <pt idx="12">
                  <v>25년 6월</v>
                </pt>
                <pt idx="13">
                  <v>25년 7월</v>
                </pt>
                <pt idx="14">
                  <v>25년 8월</v>
                </pt>
                <pt idx="15">
                  <v>25년 9월</v>
                </pt>
                <pt idx="16">
                  <v>25년 10월</v>
                </pt>
                <pt idx="17">
                  <v>25년 11월</v>
                </pt>
                <pt idx="18">
                  <v>25년 12월</v>
                </pt>
                <pt idx="19">
                  <v>26년 1월</v>
                </pt>
                <pt idx="20">
                  <v>26년 2월</v>
                </pt>
                <pt idx="21">
                  <v>26년 3월</v>
                </pt>
              </strCache>
            </strRef>
          </cat>
          <val>
            <numRef>
              <f>증감분석!$S$11:$S$32</f>
              <numCache>
                <formatCode>#,##0;[Red]\(#,##0\);"-"</formatCode>
                <ptCount val="2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49323040"/>
        <axId val="1949323520"/>
      </lineChart>
      <catAx>
        <axId val="1949323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949323520"/>
        <crosses val="autoZero"/>
        <auto val="1"/>
        <lblAlgn val="ctr"/>
        <lblOffset val="100"/>
        <noMultiLvlLbl val="0"/>
      </catAx>
      <valAx>
        <axId val="19493235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#,##0;[Red]\(#,##0\);&quot;-&quot;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949323040"/>
        <crosses val="autoZero"/>
        <crossBetween val="between"/>
        <majorUnit val="500000"/>
        <minorUnit val="250000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20</col>
      <colOff>654424</colOff>
      <row>26</row>
      <rowOff>80682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zoomScaleNormal="100" workbookViewId="0">
      <pane xSplit="1" ySplit="1" topLeftCell="B8" activePane="bottomRight" state="frozen"/>
      <selection pane="topRight" activeCell="B1" sqref="B1"/>
      <selection pane="bottomLeft" activeCell="A3" sqref="A3"/>
      <selection pane="bottomRight" activeCell="F28" sqref="F28"/>
    </sheetView>
  </sheetViews>
  <sheetFormatPr baseColWidth="8" defaultRowHeight="16.5"/>
  <cols>
    <col width="9.375" bestFit="1" customWidth="1" style="97" min="2" max="2"/>
    <col width="10.625" customWidth="1" style="97" min="6" max="6"/>
  </cols>
  <sheetData>
    <row r="1">
      <c r="A1" s="1">
        <f>COUNTIFS(B2:B44,"유지")</f>
        <v/>
      </c>
      <c r="B1" s="1" t="inlineStr">
        <is>
          <t>Status</t>
        </is>
      </c>
      <c r="C1" s="4" t="inlineStr">
        <is>
          <t>누적입금액</t>
        </is>
      </c>
      <c r="D1" s="3" t="inlineStr">
        <is>
          <t>26년 5월</t>
        </is>
      </c>
      <c r="E1" s="3" t="inlineStr">
        <is>
          <t>26년 6월</t>
        </is>
      </c>
      <c r="F1" s="3" t="inlineStr">
        <is>
          <t>26년 7월</t>
        </is>
      </c>
      <c r="G1" s="3" t="inlineStr">
        <is>
          <t>26년 8월</t>
        </is>
      </c>
      <c r="H1" s="3" t="inlineStr">
        <is>
          <t>26년 9월</t>
        </is>
      </c>
      <c r="I1" s="3" t="inlineStr">
        <is>
          <t>26년 10월</t>
        </is>
      </c>
      <c r="J1" s="3" t="inlineStr">
        <is>
          <t>26년 11월</t>
        </is>
      </c>
      <c r="K1" s="3" t="inlineStr">
        <is>
          <t>26년 12월</t>
        </is>
      </c>
      <c r="L1" s="3" t="inlineStr">
        <is>
          <t>27년 1월</t>
        </is>
      </c>
      <c r="M1" s="3" t="inlineStr">
        <is>
          <t>27년 2월</t>
        </is>
      </c>
      <c r="N1" s="3" t="inlineStr">
        <is>
          <t>27년 3월</t>
        </is>
      </c>
      <c r="O1" s="3" t="inlineStr">
        <is>
          <t>27년 4월</t>
        </is>
      </c>
      <c r="P1" s="3" t="inlineStr">
        <is>
          <t>27년 5월</t>
        </is>
      </c>
      <c r="Q1" s="3" t="inlineStr">
        <is>
          <t>27년 6월</t>
        </is>
      </c>
      <c r="R1" s="3" t="inlineStr">
        <is>
          <t>27년 7월</t>
        </is>
      </c>
      <c r="S1" s="3" t="inlineStr">
        <is>
          <t>27년 8월</t>
        </is>
      </c>
      <c r="T1" s="3" t="inlineStr">
        <is>
          <t>27년 9월</t>
        </is>
      </c>
      <c r="U1" s="3" t="inlineStr">
        <is>
          <t>27년 10월</t>
        </is>
      </c>
      <c r="V1" s="3" t="inlineStr">
        <is>
          <t>27년 11월</t>
        </is>
      </c>
      <c r="W1" s="3" t="inlineStr">
        <is>
          <t>27년 12월</t>
        </is>
      </c>
    </row>
    <row r="2">
      <c r="A2" s="3" t="inlineStr">
        <is>
          <t>김산</t>
        </is>
      </c>
      <c r="B2" s="101" t="inlineStr">
        <is>
          <t>유지</t>
        </is>
      </c>
      <c r="C2" s="102">
        <f>SUM(D2:CD2)</f>
        <v/>
      </c>
      <c r="D2" s="103" t="n">
        <v>20000</v>
      </c>
      <c r="E2" s="103" t="n">
        <v>20000</v>
      </c>
      <c r="F2" s="25" t="n">
        <v>20000</v>
      </c>
      <c r="G2" s="25" t="n">
        <v>20000</v>
      </c>
      <c r="H2" s="25" t="n">
        <v>20000</v>
      </c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</row>
    <row r="3">
      <c r="A3" s="3" t="inlineStr">
        <is>
          <t>이형석</t>
        </is>
      </c>
      <c r="B3" s="101" t="inlineStr">
        <is>
          <t>유지</t>
        </is>
      </c>
      <c r="C3" s="102">
        <f>SUM(D3:CD3)</f>
        <v/>
      </c>
      <c r="D3" s="103" t="n">
        <v>20000</v>
      </c>
      <c r="E3" s="103" t="n">
        <v>20000</v>
      </c>
      <c r="F3" s="25" t="n">
        <v>20000</v>
      </c>
      <c r="G3" s="25" t="n">
        <v>20000</v>
      </c>
      <c r="H3" s="25" t="n">
        <v>20000</v>
      </c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</row>
    <row r="4">
      <c r="A4" s="3" t="inlineStr">
        <is>
          <t>이현우</t>
        </is>
      </c>
      <c r="B4" s="101" t="inlineStr">
        <is>
          <t>유지</t>
        </is>
      </c>
      <c r="C4" s="102">
        <f>SUM(D4:CD4)</f>
        <v/>
      </c>
      <c r="D4" s="103" t="n">
        <v>20000</v>
      </c>
      <c r="E4" s="103" t="n">
        <v>20000</v>
      </c>
      <c r="F4" s="25" t="n">
        <v>20000</v>
      </c>
      <c r="G4" s="25" t="n">
        <v>20000</v>
      </c>
      <c r="H4" s="25" t="n">
        <v>20000</v>
      </c>
      <c r="I4" s="25" t="n">
        <v>20000</v>
      </c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</row>
    <row r="5">
      <c r="A5" s="3" t="inlineStr">
        <is>
          <t>윤석원</t>
        </is>
      </c>
      <c r="B5" s="101" t="inlineStr">
        <is>
          <t>유지</t>
        </is>
      </c>
      <c r="C5" s="102">
        <f>SUM(D5:CD5)</f>
        <v/>
      </c>
      <c r="D5" s="103" t="n">
        <v>20000</v>
      </c>
      <c r="E5" s="103" t="n">
        <v>20000</v>
      </c>
      <c r="F5" s="25" t="n">
        <v>20000</v>
      </c>
      <c r="G5" s="25" t="n">
        <v>20000</v>
      </c>
      <c r="H5" s="25" t="n">
        <v>20000</v>
      </c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</row>
    <row r="6">
      <c r="A6" s="3" t="inlineStr">
        <is>
          <t>임승언</t>
        </is>
      </c>
      <c r="B6" s="101" t="inlineStr">
        <is>
          <t>유지</t>
        </is>
      </c>
      <c r="C6" s="102">
        <f>SUM(D6:CD6)</f>
        <v/>
      </c>
      <c r="D6" s="103" t="n">
        <v>20000</v>
      </c>
      <c r="E6" s="103" t="n">
        <v>20000</v>
      </c>
      <c r="F6" s="25" t="n">
        <v>20000</v>
      </c>
      <c r="G6" s="25" t="n">
        <v>20000</v>
      </c>
      <c r="H6" s="25" t="n">
        <v>20000</v>
      </c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</row>
    <row r="7">
      <c r="A7" s="3" t="inlineStr">
        <is>
          <t>나한영</t>
        </is>
      </c>
      <c r="B7" s="101" t="inlineStr">
        <is>
          <t>유지</t>
        </is>
      </c>
      <c r="C7" s="102">
        <f>SUM(D7:CD7)</f>
        <v/>
      </c>
      <c r="D7" s="103" t="n">
        <v>20000</v>
      </c>
      <c r="E7" s="103" t="n">
        <v>20000</v>
      </c>
      <c r="F7" s="25" t="n">
        <v>20000</v>
      </c>
      <c r="G7" s="25" t="n">
        <v>20000</v>
      </c>
      <c r="H7" s="25" t="n">
        <v>20000</v>
      </c>
      <c r="I7" s="25" t="n">
        <v>20000</v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</row>
    <row r="8">
      <c r="A8" s="3" t="inlineStr">
        <is>
          <t>홍경택</t>
        </is>
      </c>
      <c r="B8" s="101" t="inlineStr">
        <is>
          <t>유지</t>
        </is>
      </c>
      <c r="C8" s="102">
        <f>SUM(D8:CD8)</f>
        <v/>
      </c>
      <c r="D8" s="103" t="n">
        <v>20000</v>
      </c>
      <c r="E8" s="103" t="n">
        <v>20000</v>
      </c>
      <c r="F8" s="25" t="n">
        <v>20000</v>
      </c>
      <c r="G8" s="25" t="n">
        <v>20000</v>
      </c>
      <c r="H8" s="25" t="n">
        <v>20000</v>
      </c>
      <c r="I8" s="25" t="n">
        <v>20000</v>
      </c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</row>
    <row r="9">
      <c r="A9" s="3" t="inlineStr">
        <is>
          <t>김수민</t>
        </is>
      </c>
      <c r="B9" s="101" t="inlineStr">
        <is>
          <t>유지</t>
        </is>
      </c>
      <c r="C9" s="102">
        <f>SUM(D9:CD9)</f>
        <v/>
      </c>
      <c r="D9" s="103" t="n">
        <v>20000</v>
      </c>
      <c r="E9" s="103" t="n">
        <v>20000</v>
      </c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</row>
    <row r="10">
      <c r="A10" s="3" t="inlineStr">
        <is>
          <t>이정승</t>
        </is>
      </c>
      <c r="B10" s="101" t="inlineStr">
        <is>
          <t>유지</t>
        </is>
      </c>
      <c r="C10" s="102">
        <f>SUM(D10:CD10)</f>
        <v/>
      </c>
      <c r="D10" s="103" t="n">
        <v>20000</v>
      </c>
      <c r="E10" s="103" t="n">
        <v>20000</v>
      </c>
      <c r="F10" s="25" t="n">
        <v>20000</v>
      </c>
      <c r="G10" s="25" t="n">
        <v>20000</v>
      </c>
      <c r="H10" s="25" t="n">
        <v>20000</v>
      </c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</row>
    <row r="11">
      <c r="A11" s="3" t="inlineStr">
        <is>
          <t>박병우</t>
        </is>
      </c>
      <c r="B11" s="101" t="inlineStr">
        <is>
          <t>유지</t>
        </is>
      </c>
      <c r="C11" s="102">
        <f>SUM(D11:CD11)</f>
        <v/>
      </c>
      <c r="D11" s="103" t="n">
        <v>20000</v>
      </c>
      <c r="E11" s="103" t="n">
        <v>20000</v>
      </c>
      <c r="F11" s="25" t="n">
        <v>20000</v>
      </c>
      <c r="G11" s="25" t="n">
        <v>20000</v>
      </c>
      <c r="H11" s="25" t="n">
        <v>20000</v>
      </c>
      <c r="I11" s="25" t="n">
        <v>20000</v>
      </c>
      <c r="J11" s="25" t="n">
        <v>20000</v>
      </c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</row>
    <row r="12">
      <c r="A12" s="3" t="inlineStr">
        <is>
          <t>임익준</t>
        </is>
      </c>
      <c r="B12" s="101" t="inlineStr">
        <is>
          <t>유지</t>
        </is>
      </c>
      <c r="C12" s="102">
        <f>SUM(D12:CD12)</f>
        <v/>
      </c>
      <c r="D12" s="103" t="n">
        <v>20000</v>
      </c>
      <c r="E12" s="103" t="n">
        <v>20000</v>
      </c>
      <c r="F12" s="25" t="n">
        <v>20000</v>
      </c>
      <c r="G12" s="25" t="n">
        <v>20000</v>
      </c>
      <c r="H12" s="25" t="n">
        <v>20000</v>
      </c>
      <c r="I12" s="25" t="n">
        <v>20000</v>
      </c>
      <c r="J12" s="25" t="n">
        <v>20000</v>
      </c>
      <c r="K12" s="25" t="n">
        <v>20000</v>
      </c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</row>
    <row r="13">
      <c r="A13" s="3" t="inlineStr">
        <is>
          <t>김대우</t>
        </is>
      </c>
      <c r="B13" s="101" t="inlineStr">
        <is>
          <t>유지</t>
        </is>
      </c>
      <c r="C13" s="102">
        <f>SUM(D13:CD13)</f>
        <v/>
      </c>
      <c r="D13" s="103" t="n">
        <v>20000</v>
      </c>
      <c r="E13" s="103" t="n">
        <v>20000</v>
      </c>
      <c r="F13" s="25" t="n">
        <v>20000</v>
      </c>
      <c r="G13" s="25" t="n">
        <v>20000</v>
      </c>
      <c r="H13" s="25" t="n">
        <v>20000</v>
      </c>
      <c r="I13" s="25" t="n">
        <v>20000</v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</row>
    <row r="14">
      <c r="A14" s="3" t="inlineStr">
        <is>
          <t>최창환</t>
        </is>
      </c>
      <c r="B14" s="101" t="inlineStr">
        <is>
          <t>유지</t>
        </is>
      </c>
      <c r="C14" s="102">
        <f>SUM(D14:CD14)</f>
        <v/>
      </c>
      <c r="D14" s="103" t="n">
        <v>20000</v>
      </c>
      <c r="E14" s="103" t="n">
        <v>20000</v>
      </c>
      <c r="F14" s="25" t="n">
        <v>20000</v>
      </c>
      <c r="G14" s="25" t="n">
        <v>20000</v>
      </c>
      <c r="H14" s="25" t="n">
        <v>20000</v>
      </c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</row>
    <row r="15">
      <c r="A15" s="3" t="inlineStr">
        <is>
          <t>김성환(82)</t>
        </is>
      </c>
      <c r="B15" s="101" t="inlineStr">
        <is>
          <t>유지</t>
        </is>
      </c>
      <c r="C15" s="102">
        <f>SUM(D15:CD15)</f>
        <v/>
      </c>
      <c r="D15" s="103" t="n">
        <v>20000</v>
      </c>
      <c r="E15" s="103" t="n">
        <v>20000</v>
      </c>
      <c r="F15" s="25" t="n">
        <v>20000</v>
      </c>
      <c r="G15" s="25" t="n">
        <v>20000</v>
      </c>
      <c r="H15" s="25" t="n">
        <v>20000</v>
      </c>
      <c r="I15" s="25" t="n">
        <v>20000</v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</row>
    <row r="16">
      <c r="A16" s="3" t="inlineStr">
        <is>
          <t>권기표</t>
        </is>
      </c>
      <c r="B16" s="101" t="inlineStr">
        <is>
          <t>유지</t>
        </is>
      </c>
      <c r="C16" s="102">
        <f>SUM(D16:CD16)</f>
        <v/>
      </c>
      <c r="D16" s="103" t="n">
        <v>20000</v>
      </c>
      <c r="E16" s="103" t="n">
        <v>20000</v>
      </c>
      <c r="F16" s="25" t="n">
        <v>20000</v>
      </c>
      <c r="G16" s="25" t="n">
        <v>20000</v>
      </c>
      <c r="H16" s="25" t="n">
        <v>20000</v>
      </c>
      <c r="I16" s="25" t="n">
        <v>20000</v>
      </c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</row>
    <row r="17">
      <c r="A17" s="3" t="inlineStr">
        <is>
          <t>윤준원</t>
        </is>
      </c>
      <c r="B17" s="101" t="inlineStr">
        <is>
          <t>유지</t>
        </is>
      </c>
      <c r="C17" s="102">
        <f>SUM(D17:CD17)</f>
        <v/>
      </c>
      <c r="D17" s="103" t="n">
        <v>20000</v>
      </c>
      <c r="E17" s="103" t="n">
        <v>20000</v>
      </c>
      <c r="F17" s="25" t="n">
        <v>20000</v>
      </c>
      <c r="G17" s="25" t="n">
        <v>20000</v>
      </c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</row>
    <row r="18">
      <c r="A18" s="3" t="inlineStr">
        <is>
          <t>류성준</t>
        </is>
      </c>
      <c r="B18" s="101" t="inlineStr">
        <is>
          <t>유지</t>
        </is>
      </c>
      <c r="C18" s="102">
        <f>SUM(D18:CD18)</f>
        <v/>
      </c>
      <c r="D18" s="103" t="n">
        <v>20000</v>
      </c>
      <c r="E18" s="103" t="n">
        <v>20000</v>
      </c>
      <c r="F18" s="25" t="n">
        <v>20000</v>
      </c>
      <c r="G18" s="25" t="n">
        <v>20000</v>
      </c>
      <c r="H18" s="25" t="n">
        <v>20000</v>
      </c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</row>
    <row r="19">
      <c r="A19" s="3" t="inlineStr">
        <is>
          <t>윤현호</t>
        </is>
      </c>
      <c r="B19" s="101" t="inlineStr">
        <is>
          <t>유지</t>
        </is>
      </c>
      <c r="C19" s="102">
        <f>SUM(D19:CD19)</f>
        <v/>
      </c>
      <c r="D19" s="103" t="n">
        <v>20000</v>
      </c>
      <c r="E19" s="103" t="n">
        <v>20000</v>
      </c>
      <c r="F19" s="25" t="n">
        <v>20000</v>
      </c>
      <c r="G19" s="25" t="n">
        <v>20000</v>
      </c>
      <c r="H19" s="25" t="n">
        <v>20000</v>
      </c>
      <c r="I19" s="25" t="n">
        <v>20000</v>
      </c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</row>
    <row r="20">
      <c r="A20" s="3" t="inlineStr">
        <is>
          <t>황인호</t>
        </is>
      </c>
      <c r="B20" s="101" t="inlineStr">
        <is>
          <t>유지</t>
        </is>
      </c>
      <c r="C20" s="102">
        <f>SUM(D20:CD20)</f>
        <v/>
      </c>
      <c r="D20" s="103" t="n">
        <v>20000</v>
      </c>
      <c r="E20" s="103" t="n">
        <v>20000</v>
      </c>
      <c r="F20" s="25" t="n">
        <v>20000</v>
      </c>
      <c r="G20" s="25" t="n">
        <v>20000</v>
      </c>
      <c r="H20" s="25" t="n">
        <v>20000</v>
      </c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</row>
    <row r="21">
      <c r="A21" s="3" t="inlineStr">
        <is>
          <t>손원우</t>
        </is>
      </c>
      <c r="B21" s="101" t="inlineStr">
        <is>
          <t>탈퇴</t>
        </is>
      </c>
      <c r="C21" s="102">
        <f>SUM(D21:CD21)</f>
        <v/>
      </c>
      <c r="D21" s="103" t="n">
        <v>20000</v>
      </c>
      <c r="E21" s="103" t="n">
        <v>0</v>
      </c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</row>
    <row r="22">
      <c r="A22" s="3" t="inlineStr">
        <is>
          <t>조성태</t>
        </is>
      </c>
      <c r="B22" s="101" t="inlineStr">
        <is>
          <t>유지</t>
        </is>
      </c>
      <c r="C22" s="102">
        <f>SUM(D22:CD22)</f>
        <v/>
      </c>
      <c r="D22" s="103" t="n">
        <v>20000</v>
      </c>
      <c r="E22" s="103" t="n">
        <v>20000</v>
      </c>
      <c r="F22" s="103" t="n">
        <v>20000</v>
      </c>
      <c r="G22" s="103" t="n"/>
      <c r="H22" s="103" t="n"/>
      <c r="I22" s="103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</row>
    <row r="23">
      <c r="A23" s="3" t="inlineStr">
        <is>
          <t>이은광</t>
        </is>
      </c>
      <c r="B23" s="101" t="inlineStr">
        <is>
          <t>유지</t>
        </is>
      </c>
      <c r="C23" s="102">
        <f>SUM(D23:CD23)</f>
        <v/>
      </c>
      <c r="D23" s="103" t="n">
        <v>20000</v>
      </c>
      <c r="E23" s="103" t="n">
        <v>20000</v>
      </c>
      <c r="F23" s="103" t="n">
        <v>20000</v>
      </c>
      <c r="G23" s="103" t="n">
        <v>20000</v>
      </c>
      <c r="H23" s="103" t="n">
        <v>20000</v>
      </c>
      <c r="I23" s="103" t="n">
        <v>20000</v>
      </c>
      <c r="J23" s="25" t="n">
        <v>20000</v>
      </c>
      <c r="K23" s="25" t="n">
        <v>20000</v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</row>
    <row r="24">
      <c r="A24" s="3" t="inlineStr">
        <is>
          <t>강현수</t>
        </is>
      </c>
      <c r="B24" s="101" t="inlineStr">
        <is>
          <t>유지</t>
        </is>
      </c>
      <c r="C24" s="102">
        <f>SUM(D24:CD24)</f>
        <v/>
      </c>
      <c r="D24" s="103" t="n">
        <v>20000</v>
      </c>
      <c r="E24" s="103" t="n">
        <v>20000</v>
      </c>
      <c r="F24" s="103" t="n">
        <v>20000</v>
      </c>
      <c r="G24" s="103" t="n">
        <v>20000</v>
      </c>
      <c r="H24" s="103" t="n">
        <v>20000</v>
      </c>
      <c r="I24" s="103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</row>
    <row r="25">
      <c r="A25" s="3" t="inlineStr">
        <is>
          <t>조현민</t>
        </is>
      </c>
      <c r="B25" s="101" t="inlineStr">
        <is>
          <t>유지</t>
        </is>
      </c>
      <c r="C25" s="102">
        <f>SUM(D25:CD25)</f>
        <v/>
      </c>
      <c r="D25" s="103" t="n">
        <v>20000</v>
      </c>
      <c r="E25" s="103" t="n">
        <v>20000</v>
      </c>
      <c r="F25" s="103" t="n">
        <v>20000</v>
      </c>
      <c r="G25" s="103" t="n">
        <v>20000</v>
      </c>
      <c r="H25" s="103" t="n">
        <v>20000</v>
      </c>
      <c r="I25" s="103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</row>
    <row r="26">
      <c r="A26" s="3" t="inlineStr">
        <is>
          <t>김성환(92)</t>
        </is>
      </c>
      <c r="B26" s="101" t="inlineStr">
        <is>
          <t>유지</t>
        </is>
      </c>
      <c r="C26" s="102">
        <f>SUM(D26:CD26)</f>
        <v/>
      </c>
      <c r="D26" s="103" t="n">
        <v>20000</v>
      </c>
      <c r="E26" s="103" t="n">
        <v>20000</v>
      </c>
      <c r="F26" s="103" t="n">
        <v>20000</v>
      </c>
      <c r="G26" s="103" t="n">
        <v>20000</v>
      </c>
      <c r="H26" s="103" t="n">
        <v>20000</v>
      </c>
      <c r="I26" s="103" t="n">
        <v>20000</v>
      </c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</row>
    <row r="27">
      <c r="A27" s="3" t="inlineStr">
        <is>
          <t>이준범</t>
        </is>
      </c>
      <c r="B27" s="101" t="inlineStr">
        <is>
          <t>유지</t>
        </is>
      </c>
      <c r="C27" s="102">
        <f>SUM(D27:CD27)</f>
        <v/>
      </c>
      <c r="D27" s="103" t="n">
        <v>20000</v>
      </c>
      <c r="E27" s="103" t="n">
        <v>20000</v>
      </c>
      <c r="F27" s="103" t="n">
        <v>20000</v>
      </c>
      <c r="G27" s="103" t="n">
        <v>20000</v>
      </c>
      <c r="H27" s="103" t="n">
        <v>20000</v>
      </c>
      <c r="I27" s="103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</row>
    <row r="28">
      <c r="A28" s="3" t="inlineStr">
        <is>
          <t>황호연</t>
        </is>
      </c>
      <c r="B28" s="101" t="inlineStr">
        <is>
          <t>탈퇴</t>
        </is>
      </c>
      <c r="C28" s="102">
        <f>SUM(D28:CD28)</f>
        <v/>
      </c>
      <c r="D28" s="103" t="n">
        <v>20000</v>
      </c>
      <c r="E28" s="103" t="n">
        <v>0</v>
      </c>
      <c r="F28" s="103" t="n"/>
      <c r="G28" s="103" t="n"/>
      <c r="H28" s="103" t="n"/>
      <c r="I28" s="103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</row>
    <row r="29">
      <c r="A29" s="3" t="inlineStr">
        <is>
          <t>이건희</t>
        </is>
      </c>
      <c r="B29" s="101" t="inlineStr">
        <is>
          <t>유지</t>
        </is>
      </c>
      <c r="C29" s="102">
        <f>SUM(D29:CD29)</f>
        <v/>
      </c>
      <c r="D29" s="103" t="n">
        <v>20000</v>
      </c>
      <c r="E29" s="103" t="n">
        <v>20000</v>
      </c>
      <c r="F29" s="103" t="n">
        <v>20000</v>
      </c>
      <c r="G29" s="103" t="n">
        <v>20000</v>
      </c>
      <c r="H29" s="103" t="n">
        <v>20000</v>
      </c>
      <c r="I29" s="103" t="n">
        <v>20000</v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</row>
    <row r="30">
      <c r="A30" s="3" t="inlineStr">
        <is>
          <t>김준기</t>
        </is>
      </c>
      <c r="B30" s="101" t="inlineStr">
        <is>
          <t>유지</t>
        </is>
      </c>
      <c r="C30" s="102">
        <f>SUM(D30:CD30)</f>
        <v/>
      </c>
      <c r="D30" s="103" t="n">
        <v>20000</v>
      </c>
      <c r="E30" s="103" t="n">
        <v>20000</v>
      </c>
      <c r="F30" s="103" t="n">
        <v>20000</v>
      </c>
      <c r="G30" s="103" t="n">
        <v>20000</v>
      </c>
      <c r="H30" s="103" t="n">
        <v>20000</v>
      </c>
      <c r="I30" s="103" t="n">
        <v>20000</v>
      </c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</row>
    <row r="31">
      <c r="A31" s="3" t="inlineStr">
        <is>
          <t>백근호</t>
        </is>
      </c>
      <c r="B31" s="101" t="inlineStr">
        <is>
          <t>유지</t>
        </is>
      </c>
      <c r="C31" s="102">
        <f>SUM(D31:CD31)</f>
        <v/>
      </c>
      <c r="D31" s="103" t="n">
        <v>20000</v>
      </c>
      <c r="E31" s="103" t="n">
        <v>20000</v>
      </c>
      <c r="F31" s="103" t="n">
        <v>20000</v>
      </c>
      <c r="G31" s="103" t="n">
        <v>20000</v>
      </c>
      <c r="H31" s="103" t="n">
        <v>20000</v>
      </c>
      <c r="I31" s="103" t="n">
        <v>20000</v>
      </c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</row>
    <row r="32">
      <c r="A32" s="3" t="inlineStr">
        <is>
          <t>김현섭</t>
        </is>
      </c>
      <c r="B32" s="101" t="inlineStr">
        <is>
          <t>유지</t>
        </is>
      </c>
      <c r="C32" s="102">
        <f>SUM(D32:CD32)</f>
        <v/>
      </c>
      <c r="D32" s="103" t="n">
        <v>20000</v>
      </c>
      <c r="E32" s="103" t="n">
        <v>20000</v>
      </c>
      <c r="F32" s="103" t="n">
        <v>20000</v>
      </c>
      <c r="G32" s="103" t="n">
        <v>20000</v>
      </c>
      <c r="H32" s="103" t="n"/>
      <c r="I32" s="103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</row>
    <row r="33">
      <c r="A33" s="3" t="inlineStr">
        <is>
          <t>김지수</t>
        </is>
      </c>
      <c r="B33" s="99" t="inlineStr">
        <is>
          <t>탈퇴</t>
        </is>
      </c>
      <c r="C33" s="102">
        <f>SUM(D33:CD33)</f>
        <v/>
      </c>
      <c r="D33" s="103" t="n">
        <v>20000</v>
      </c>
      <c r="E33" s="98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98" t="n"/>
      <c r="P33" s="98" t="n"/>
      <c r="Q33" s="98" t="n"/>
      <c r="R33" s="98" t="n"/>
      <c r="S33" s="98" t="n"/>
      <c r="T33" s="98" t="n"/>
      <c r="U33" s="98" t="n"/>
      <c r="V33" s="98" t="n"/>
      <c r="W33" s="98" t="n"/>
    </row>
    <row r="34">
      <c r="A34" s="3" t="inlineStr">
        <is>
          <t>최원재</t>
        </is>
      </c>
      <c r="B34" s="101" t="inlineStr">
        <is>
          <t>유지</t>
        </is>
      </c>
      <c r="C34" s="102">
        <f>SUM(D34:CD34)</f>
        <v/>
      </c>
      <c r="D34" s="103" t="n">
        <v>20000</v>
      </c>
      <c r="E34" s="103" t="n">
        <v>20000</v>
      </c>
      <c r="F34" s="103" t="n">
        <v>20000</v>
      </c>
      <c r="G34" s="103" t="n">
        <v>20000</v>
      </c>
      <c r="H34" s="103" t="n">
        <v>20000</v>
      </c>
      <c r="I34" s="103" t="n">
        <v>20000</v>
      </c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</row>
    <row r="35">
      <c r="A35" s="3" t="inlineStr">
        <is>
          <t>김서래</t>
        </is>
      </c>
      <c r="B35" s="101" t="inlineStr">
        <is>
          <t>탈퇴</t>
        </is>
      </c>
      <c r="C35" s="102">
        <f>SUM(D35:CD35)</f>
        <v/>
      </c>
      <c r="D35" s="103" t="n">
        <v>20000</v>
      </c>
      <c r="E35" s="103" t="n">
        <v>20000</v>
      </c>
      <c r="F35" s="103" t="n"/>
      <c r="G35" s="103" t="n"/>
      <c r="H35" s="103" t="n"/>
      <c r="I35" s="103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</row>
    <row r="36">
      <c r="A36" s="3" t="inlineStr">
        <is>
          <t>이호준</t>
        </is>
      </c>
      <c r="B36" s="101" t="inlineStr">
        <is>
          <t>유지</t>
        </is>
      </c>
      <c r="C36" s="102">
        <f>SUM(D36:CD36)</f>
        <v/>
      </c>
      <c r="D36" s="103" t="n">
        <v>20000</v>
      </c>
      <c r="E36" s="103" t="n">
        <v>20000</v>
      </c>
      <c r="F36" s="103" t="n">
        <v>20000</v>
      </c>
      <c r="G36" s="103" t="n">
        <v>20000</v>
      </c>
      <c r="H36" s="103" t="n">
        <v>20000</v>
      </c>
      <c r="I36" s="103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</row>
    <row r="37">
      <c r="A37" s="3" t="inlineStr">
        <is>
          <t>강충현</t>
        </is>
      </c>
      <c r="B37" s="101" t="inlineStr">
        <is>
          <t>유지</t>
        </is>
      </c>
      <c r="C37" s="102">
        <f>SUM(D37:CD37)</f>
        <v/>
      </c>
      <c r="D37" s="103" t="n">
        <v>20000</v>
      </c>
      <c r="E37" s="103" t="n">
        <v>20000</v>
      </c>
      <c r="F37" s="103" t="n">
        <v>20000</v>
      </c>
      <c r="G37" s="103" t="n">
        <v>20000</v>
      </c>
      <c r="H37" s="103" t="n">
        <v>20000</v>
      </c>
      <c r="I37" s="103" t="n">
        <v>20000</v>
      </c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</row>
    <row r="38">
      <c r="A38" s="3" t="inlineStr">
        <is>
          <t>박헌우</t>
        </is>
      </c>
      <c r="B38" s="101" t="inlineStr">
        <is>
          <t>유지</t>
        </is>
      </c>
      <c r="C38" s="102" t="n">
        <v>40000</v>
      </c>
      <c r="D38" s="103" t="n">
        <v>20000</v>
      </c>
      <c r="E38" s="103" t="n">
        <v>20000</v>
      </c>
      <c r="F38" s="103" t="n">
        <v>20000</v>
      </c>
      <c r="G38" s="103" t="n">
        <v>20000</v>
      </c>
      <c r="H38" s="103" t="n">
        <v>20000</v>
      </c>
      <c r="I38" s="103" t="n">
        <v>20000</v>
      </c>
      <c r="J38" s="103" t="n">
        <v>20000</v>
      </c>
      <c r="K38" s="103" t="n">
        <v>20000</v>
      </c>
      <c r="L38" s="103" t="n"/>
      <c r="M38" s="103" t="n"/>
      <c r="N38" s="103" t="n"/>
      <c r="O38" s="103" t="n"/>
      <c r="P38" s="103" t="n"/>
      <c r="Q38" s="103" t="n"/>
      <c r="R38" s="103" t="n"/>
      <c r="S38" s="103" t="n"/>
      <c r="T38" s="103" t="n"/>
      <c r="U38" s="103" t="n"/>
      <c r="V38" s="103" t="n"/>
      <c r="W38" s="103" t="n"/>
    </row>
    <row r="39">
      <c r="A39" s="3" t="inlineStr">
        <is>
          <t>옥지엽</t>
        </is>
      </c>
      <c r="B39" s="101" t="inlineStr">
        <is>
          <t>유지</t>
        </is>
      </c>
      <c r="C39" s="102">
        <f>SUM(D39:CD39)</f>
        <v/>
      </c>
      <c r="D39" s="103" t="n">
        <v>20000</v>
      </c>
      <c r="E39" s="103" t="n">
        <v>20000</v>
      </c>
      <c r="F39" s="103" t="n">
        <v>20000</v>
      </c>
      <c r="G39" s="103" t="n">
        <v>20000</v>
      </c>
      <c r="H39" s="103" t="n">
        <v>20000</v>
      </c>
      <c r="I39" s="103" t="n">
        <v>20000</v>
      </c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</row>
    <row r="40">
      <c r="A40" s="3" t="inlineStr">
        <is>
          <t>서정권</t>
        </is>
      </c>
      <c r="B40" s="101" t="inlineStr">
        <is>
          <t>유지</t>
        </is>
      </c>
      <c r="C40" s="102">
        <f>SUM(D40:CD40)</f>
        <v/>
      </c>
      <c r="D40" s="103" t="n">
        <v>20000</v>
      </c>
      <c r="E40" s="103" t="n">
        <v>20000</v>
      </c>
      <c r="F40" s="103" t="n">
        <v>20000</v>
      </c>
      <c r="G40" s="103" t="n">
        <v>20000</v>
      </c>
      <c r="H40" s="103" t="n">
        <v>20000</v>
      </c>
      <c r="I40" s="103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</row>
    <row r="41">
      <c r="A41" s="3" t="inlineStr">
        <is>
          <t>주홍석</t>
        </is>
      </c>
      <c r="B41" s="101" t="inlineStr">
        <is>
          <t>유지</t>
        </is>
      </c>
      <c r="C41" s="102">
        <f>SUM(D41:CD41)</f>
        <v/>
      </c>
      <c r="D41" s="103" t="n">
        <v>20000</v>
      </c>
      <c r="E41" s="103" t="n">
        <v>20000</v>
      </c>
      <c r="F41" s="103" t="n">
        <v>20000</v>
      </c>
      <c r="G41" s="103" t="n">
        <v>20000</v>
      </c>
      <c r="H41" s="103" t="n">
        <v>20000</v>
      </c>
      <c r="I41" s="103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</row>
    <row r="42">
      <c r="A42" s="3" t="inlineStr">
        <is>
          <t>이도영</t>
        </is>
      </c>
      <c r="B42" s="101" t="inlineStr">
        <is>
          <t>유지</t>
        </is>
      </c>
      <c r="C42" s="102">
        <f>SUM(D42:CD42)</f>
        <v/>
      </c>
      <c r="D42" s="103" t="n">
        <v>20000</v>
      </c>
      <c r="E42" s="103" t="n">
        <v>20000</v>
      </c>
      <c r="F42" s="103" t="n">
        <v>20000</v>
      </c>
      <c r="G42" s="103" t="n">
        <v>20000</v>
      </c>
      <c r="H42" s="103" t="n">
        <v>20000</v>
      </c>
      <c r="I42" s="103" t="n">
        <v>20000</v>
      </c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</row>
    <row r="43">
      <c r="A43" s="3" t="inlineStr">
        <is>
          <t>박진석</t>
        </is>
      </c>
      <c r="B43" s="101" t="inlineStr">
        <is>
          <t>유지</t>
        </is>
      </c>
      <c r="C43" s="102">
        <f>SUM(D43:CD43)</f>
        <v/>
      </c>
      <c r="D43" s="98" t="n"/>
      <c r="E43" s="103" t="n">
        <v>20000</v>
      </c>
      <c r="F43" s="103" t="n">
        <v>20000</v>
      </c>
      <c r="G43" s="103" t="n">
        <v>20000</v>
      </c>
      <c r="H43" s="103" t="n">
        <v>20000</v>
      </c>
      <c r="I43" s="103" t="n">
        <v>20000</v>
      </c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</row>
    <row r="44" ht="34.5" customHeight="1" s="97">
      <c r="A44" s="3" t="inlineStr">
        <is>
          <t>박정수</t>
        </is>
      </c>
      <c r="B44" s="101" t="inlineStr">
        <is>
          <t>유지</t>
        </is>
      </c>
      <c r="C44" s="102">
        <f>SUM(D44:CD44)</f>
        <v/>
      </c>
      <c r="D44" s="98" t="n"/>
      <c r="E44" s="103" t="n"/>
      <c r="F44" s="103" t="n">
        <v>20000</v>
      </c>
      <c r="G44" s="103" t="n">
        <v>20000</v>
      </c>
      <c r="H44" s="103" t="n">
        <v>20000</v>
      </c>
      <c r="I44" s="103" t="n">
        <v>20000</v>
      </c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</row>
    <row r="45" ht="34.5" customHeight="1" s="97">
      <c r="A45" s="3" t="inlineStr">
        <is>
          <t>박승훈</t>
        </is>
      </c>
      <c r="B45" s="101" t="inlineStr">
        <is>
          <t>유지</t>
        </is>
      </c>
      <c r="C45" s="102">
        <f>SUM(D45:CD45)</f>
        <v/>
      </c>
      <c r="D45" s="98" t="n"/>
      <c r="E45" s="103" t="n"/>
      <c r="F45" s="103" t="n"/>
      <c r="G45" s="103" t="n"/>
      <c r="H45" s="103" t="n">
        <v>20000</v>
      </c>
      <c r="I45" s="103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</row>
    <row r="46">
      <c r="A46" s="1" t="inlineStr">
        <is>
          <t>계</t>
        </is>
      </c>
      <c r="B46" s="1" t="n"/>
      <c r="C46" s="102">
        <f>SUM(C2:C45)</f>
        <v/>
      </c>
      <c r="D46" s="102">
        <f>SUM(D2:D45)</f>
        <v/>
      </c>
      <c r="E46" s="102">
        <f>SUM(E2:E45)</f>
        <v/>
      </c>
      <c r="F46" s="102">
        <f>SUM(F2:F45)</f>
        <v/>
      </c>
      <c r="G46" s="102">
        <f>SUM(G2:G45)</f>
        <v/>
      </c>
      <c r="H46" s="102">
        <f>SUM(H2:H45)</f>
        <v/>
      </c>
      <c r="I46" s="102">
        <f>SUM(I2:I45)</f>
        <v/>
      </c>
      <c r="J46" s="102">
        <f>SUM(J2:J45)</f>
        <v/>
      </c>
      <c r="K46" s="102">
        <f>SUM(K2:K45)</f>
        <v/>
      </c>
      <c r="L46" s="102">
        <f>SUM(L2:L45)</f>
        <v/>
      </c>
      <c r="M46" s="102">
        <f>SUM(M2:M45)</f>
        <v/>
      </c>
      <c r="N46" s="102">
        <f>SUM(N2:N45)</f>
        <v/>
      </c>
      <c r="O46" s="102">
        <f>SUM(O2:O45)</f>
        <v/>
      </c>
      <c r="P46" s="102">
        <f>SUM(P2:P45)</f>
        <v/>
      </c>
      <c r="Q46" s="102">
        <f>SUM(Q2:Q45)</f>
        <v/>
      </c>
      <c r="R46" s="102">
        <f>SUM(R2:R45)</f>
        <v/>
      </c>
      <c r="S46" s="102">
        <f>SUM(S2:S45)</f>
        <v/>
      </c>
      <c r="T46" s="102">
        <f>SUM(T2:T45)</f>
        <v/>
      </c>
      <c r="U46" s="102">
        <f>SUM(U2:U45)</f>
        <v/>
      </c>
      <c r="V46" s="102">
        <f>SUM(V2:V45)</f>
        <v/>
      </c>
      <c r="W46" s="102">
        <f>SUM(W2:W45)</f>
        <v/>
      </c>
    </row>
  </sheetData>
  <conditionalFormatting sqref="A2:A43">
    <cfRule type="duplicateValues" priority="2" dxfId="1"/>
  </conditionalFormatting>
  <conditionalFormatting sqref="D2:W43">
    <cfRule type="cellIs" priority="1" operator="greaterThan" dxfId="1">
      <formula>20000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view="pageBreakPreview" zoomScale="115" zoomScaleNormal="85" zoomScaleSheetLayoutView="115" workbookViewId="0">
      <selection activeCell="N11" sqref="N11"/>
    </sheetView>
  </sheetViews>
  <sheetFormatPr baseColWidth="8" defaultRowHeight="22.5" customHeight="1"/>
  <cols>
    <col width="16.25" customWidth="1" style="97" min="1" max="1"/>
    <col width="0.5" customWidth="1" style="97" min="2" max="2"/>
    <col width="13.875" customWidth="1" style="97" min="3" max="3"/>
    <col width="14.75" customWidth="1" style="97" min="4" max="4"/>
    <col width="0.5" customWidth="1" style="97" min="5" max="5"/>
    <col width="13.375" customWidth="1" style="97" min="6" max="6"/>
    <col width="15" customWidth="1" style="97" min="7" max="7"/>
    <col width="0.5" customWidth="1" style="97" min="8" max="8"/>
    <col width="13.375" customWidth="1" style="97" min="9" max="9"/>
    <col width="16.25" customWidth="1" style="97" min="10" max="10"/>
  </cols>
  <sheetData>
    <row r="1" ht="22.5" customHeight="1" s="97">
      <c r="A1" s="17" t="n"/>
      <c r="B1" s="17" t="n"/>
      <c r="C1" s="18">
        <f>참고!$E$5</f>
        <v/>
      </c>
      <c r="D1" s="17" t="n"/>
      <c r="E1" s="17" t="n"/>
      <c r="F1" s="18">
        <f>참고!$D$5</f>
        <v/>
      </c>
      <c r="G1" s="17" t="n"/>
      <c r="H1" s="17" t="n"/>
      <c r="I1" s="17" t="n"/>
      <c r="J1" s="17" t="n"/>
    </row>
    <row r="2" ht="52.15" customHeight="1" s="97">
      <c r="A2" s="32" t="inlineStr">
        <is>
          <t>구분</t>
        </is>
      </c>
      <c r="B2" s="44" t="n"/>
      <c r="C2" s="31" t="inlineStr">
        <is>
          <t>전월</t>
        </is>
      </c>
      <c r="D2" s="32" t="n"/>
      <c r="E2" s="43" t="n"/>
      <c r="F2" s="33" t="inlineStr">
        <is>
          <t>당월</t>
        </is>
      </c>
      <c r="G2" s="32" t="n"/>
      <c r="H2" s="43" t="n"/>
      <c r="I2" s="32" t="inlineStr">
        <is>
          <t>누적</t>
        </is>
      </c>
      <c r="J2" s="32" t="n"/>
    </row>
    <row r="3" ht="3" customHeight="1" s="97">
      <c r="A3" s="47" t="n"/>
      <c r="B3" s="48" t="n"/>
      <c r="C3" s="49" t="n"/>
      <c r="D3" s="50" t="n"/>
      <c r="E3" s="51" t="n"/>
      <c r="F3" s="52" t="n"/>
      <c r="G3" s="47" t="n"/>
      <c r="H3" s="51" t="n"/>
      <c r="I3" s="47" t="n"/>
      <c r="J3" s="47" t="n"/>
    </row>
    <row r="4" ht="40.15" customHeight="1" s="97">
      <c r="A4" s="38" t="inlineStr">
        <is>
          <t xml:space="preserve"> 입금</t>
        </is>
      </c>
      <c r="B4" s="104" t="n"/>
      <c r="C4" s="105" t="n"/>
      <c r="D4" s="106">
        <f>SUM(C5:C7)</f>
        <v/>
      </c>
      <c r="E4" s="104" t="n"/>
      <c r="F4" s="107" t="n"/>
      <c r="G4" s="108">
        <f>SUM(F5:F7)</f>
        <v/>
      </c>
      <c r="H4" s="104" t="n"/>
      <c r="I4" s="108" t="n"/>
      <c r="J4" s="108">
        <f>SUM(I5:I7)</f>
        <v/>
      </c>
    </row>
    <row r="5" ht="28.15" customHeight="1" s="97">
      <c r="A5" s="46" t="inlineStr">
        <is>
          <t>회비</t>
        </is>
      </c>
      <c r="B5" s="109" t="n"/>
      <c r="C5" s="110">
        <f>SUMIFS(원장!$H:$H,원장!$E:$E,회비입출내역!$A5,원장!$A:$A,회비입출내역!$C$1)</f>
        <v/>
      </c>
      <c r="D5" s="111" t="n"/>
      <c r="E5" s="109" t="n"/>
      <c r="F5" s="112">
        <f>SUMIFS(원장!$H:$H,원장!$E:$E,회비입출내역!$A5,원장!$A:$A,회비입출내역!$F$1)</f>
        <v/>
      </c>
      <c r="G5" s="113" t="n"/>
      <c r="H5" s="109" t="n"/>
      <c r="I5" s="114">
        <f>SUMIFS(원장!$H:$H,원장!$E:$E,회비입출내역!$A5)</f>
        <v/>
      </c>
      <c r="J5" s="113" t="n"/>
    </row>
    <row r="6" ht="28.15" customHeight="1" s="97">
      <c r="A6" s="46" t="inlineStr">
        <is>
          <t>지각비</t>
        </is>
      </c>
      <c r="B6" s="109" t="n"/>
      <c r="C6" s="110">
        <f>SUMIFS(원장!$H:$H,원장!$E:$E,회비입출내역!$A6,원장!$A:$A,회비입출내역!$C$1)</f>
        <v/>
      </c>
      <c r="D6" s="111" t="n"/>
      <c r="E6" s="109" t="n"/>
      <c r="F6" s="112">
        <f>SUMIFS(원장!$H:$H,원장!$E:$E,회비입출내역!$A6,원장!$A:$A,회비입출내역!$F$1)</f>
        <v/>
      </c>
      <c r="G6" s="113" t="n"/>
      <c r="H6" s="109" t="n"/>
      <c r="I6" s="114">
        <f>SUMIFS(원장!$H:$H,원장!$E:$E,회비입출내역!$A6)</f>
        <v/>
      </c>
      <c r="J6" s="113" t="n"/>
    </row>
    <row r="7" ht="28.15" customHeight="1" s="97">
      <c r="A7" s="46" t="inlineStr">
        <is>
          <t>이자</t>
        </is>
      </c>
      <c r="B7" s="109" t="n"/>
      <c r="C7" s="110">
        <f>SUMIFS(원장!$H:$H,원장!$E:$E,회비입출내역!$A7,원장!$A:$A,회비입출내역!$C$1)</f>
        <v/>
      </c>
      <c r="D7" s="111" t="n"/>
      <c r="E7" s="109" t="n"/>
      <c r="F7" s="112">
        <f>SUMIFS(원장!$H:$H,원장!$E:$E,회비입출내역!$A7,원장!$A:$A,회비입출내역!$F$1)</f>
        <v/>
      </c>
      <c r="G7" s="113" t="n"/>
      <c r="H7" s="109" t="n"/>
      <c r="I7" s="114">
        <f>SUMIFS(원장!$H:$H,원장!$E:$E,회비입출내역!$A7)</f>
        <v/>
      </c>
      <c r="J7" s="113" t="n"/>
    </row>
    <row r="8" ht="3" customHeight="1" s="97">
      <c r="A8" s="47" t="n"/>
      <c r="B8" s="48" t="n"/>
      <c r="C8" s="49" t="n"/>
      <c r="D8" s="50" t="n"/>
      <c r="E8" s="51" t="n"/>
      <c r="F8" s="52" t="n"/>
      <c r="G8" s="47" t="n"/>
      <c r="H8" s="51" t="n"/>
      <c r="I8" s="47" t="n"/>
      <c r="J8" s="47" t="n"/>
    </row>
    <row r="9" ht="40.15" customHeight="1" s="97">
      <c r="A9" s="38" t="inlineStr">
        <is>
          <t xml:space="preserve"> 출금</t>
        </is>
      </c>
      <c r="B9" s="104" t="n"/>
      <c r="C9" s="26" t="n"/>
      <c r="D9" s="106">
        <f>SUM(C10:C15)</f>
        <v/>
      </c>
      <c r="E9" s="104" t="n"/>
      <c r="F9" s="37" t="n"/>
      <c r="G9" s="108">
        <f>SUM(F10:F15)</f>
        <v/>
      </c>
      <c r="H9" s="104" t="n"/>
      <c r="I9" s="38" t="n"/>
      <c r="J9" s="108">
        <f>SUM(I10:I15)</f>
        <v/>
      </c>
    </row>
    <row r="10" ht="28.15" customHeight="1" s="97">
      <c r="A10" s="46" t="inlineStr">
        <is>
          <t>모임비</t>
        </is>
      </c>
      <c r="B10" s="115" t="n"/>
      <c r="C10" s="114">
        <f>SUMIFS(원장!$H:$H,원장!$E:$E,회비입출내역!$A10,원장!$A:$A,회비입출내역!$C$1)</f>
        <v/>
      </c>
      <c r="D10" s="114" t="n"/>
      <c r="E10" s="116" t="n"/>
      <c r="F10" s="112">
        <f>SUMIFS(원장!$H:$H,원장!$E:$E,회비입출내역!$A10,원장!$A:$A,회비입출내역!$F$1)</f>
        <v/>
      </c>
      <c r="G10" s="114" t="n"/>
      <c r="H10" s="116" t="n"/>
      <c r="I10" s="114">
        <f>SUMIFS(원장!$H:$H,원장!$E:$E,회비입출내역!$A10)</f>
        <v/>
      </c>
      <c r="J10" s="114" t="n"/>
    </row>
    <row r="11" ht="28.15" customHeight="1" s="97">
      <c r="A11" s="46" t="inlineStr">
        <is>
          <t>강연비</t>
        </is>
      </c>
      <c r="B11" s="115" t="n"/>
      <c r="C11" s="114">
        <f>SUMIFS(원장!$H:$H,원장!$E:$E,회비입출내역!$A11,원장!$A:$A,회비입출내역!$C$1)</f>
        <v/>
      </c>
      <c r="D11" s="114" t="n"/>
      <c r="E11" s="116" t="n"/>
      <c r="F11" s="112">
        <f>SUMIFS(원장!$H:$H,원장!$E:$E,회비입출내역!$A11,원장!$A:$A,회비입출내역!$F$1)</f>
        <v/>
      </c>
      <c r="G11" s="114" t="n"/>
      <c r="H11" s="116" t="n"/>
      <c r="I11" s="114">
        <f>SUMIFS(원장!$H:$H,원장!$E:$E,회비입출내역!$A11)</f>
        <v/>
      </c>
      <c r="J11" s="114" t="n"/>
    </row>
    <row r="12" ht="28.15" customHeight="1" s="97">
      <c r="A12" s="46" t="inlineStr">
        <is>
          <t>경조사비</t>
        </is>
      </c>
      <c r="B12" s="42" t="n"/>
      <c r="C12" s="110">
        <f>SUMIFS(원장!$H:$H,원장!$E:$E,회비입출내역!$A12,원장!$A:$A,회비입출내역!$C$1)</f>
        <v/>
      </c>
      <c r="D12" s="21" t="n"/>
      <c r="E12" s="42" t="n"/>
      <c r="F12" s="112">
        <f>SUMIFS(원장!$H:$H,원장!$E:$E,회비입출내역!$A12,원장!$A:$A,회비입출내역!$F$1)</f>
        <v/>
      </c>
      <c r="G12" s="21" t="n"/>
      <c r="H12" s="42" t="n"/>
      <c r="I12" s="114">
        <f>SUMIFS(원장!$H:$H,원장!$E:$E,회비입출내역!$A12)</f>
        <v/>
      </c>
      <c r="J12" s="21" t="n"/>
    </row>
    <row r="13" ht="28.15" customHeight="1" s="97">
      <c r="A13" s="46" t="inlineStr">
        <is>
          <t>경품비</t>
        </is>
      </c>
      <c r="B13" s="65" t="n"/>
      <c r="C13" s="110">
        <f>SUMIFS(원장!$H:$H,원장!$E:$E,회비입출내역!$A13,원장!$A:$A,회비입출내역!$C$1)</f>
        <v/>
      </c>
      <c r="D13" s="21" t="n"/>
      <c r="E13" s="42" t="n"/>
      <c r="F13" s="112">
        <f>SUMIFS(원장!$H:$H,원장!$E:$E,회비입출내역!$A13,원장!$A:$A,회비입출내역!$F$1)</f>
        <v/>
      </c>
      <c r="G13" s="21" t="n"/>
      <c r="H13" s="42" t="n"/>
      <c r="I13" s="114">
        <f>SUMIFS(원장!$H:$H,원장!$E:$E,회비입출내역!$A13)</f>
        <v/>
      </c>
      <c r="J13" s="21" t="n"/>
    </row>
    <row r="14" ht="3" customHeight="1" s="97">
      <c r="A14" s="47" t="n"/>
      <c r="B14" s="48" t="n"/>
      <c r="C14" s="49" t="n"/>
      <c r="D14" s="50" t="n"/>
      <c r="E14" s="51" t="n"/>
      <c r="F14" s="52" t="n"/>
      <c r="G14" s="47" t="n"/>
      <c r="H14" s="51" t="n"/>
      <c r="I14" s="47" t="n"/>
      <c r="J14" s="47" t="n"/>
    </row>
    <row r="15" ht="40.15" customHeight="1" s="97">
      <c r="A15" s="38" t="inlineStr">
        <is>
          <t xml:space="preserve"> 입금 - 출금</t>
        </is>
      </c>
      <c r="B15" s="104" t="n"/>
      <c r="C15" s="26" t="n"/>
      <c r="D15" s="106">
        <f>SUM(D4:D13)</f>
        <v/>
      </c>
      <c r="E15" s="104" t="n"/>
      <c r="F15" s="37" t="n"/>
      <c r="G15" s="108">
        <f>SUM(G4:G13)</f>
        <v/>
      </c>
      <c r="H15" s="104" t="n"/>
      <c r="I15" s="38" t="n"/>
      <c r="J15" s="108">
        <f>SUM(J4:J13)</f>
        <v/>
      </c>
    </row>
    <row r="16" ht="22.5" customHeight="1" s="97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17" t="inlineStr">
        <is>
          <t>8월 3일 잔액</t>
        </is>
      </c>
      <c r="J16" s="118" t="n">
        <v>1398271</v>
      </c>
    </row>
    <row r="17" ht="22.5" customHeight="1" s="9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18" t="n"/>
      <c r="J17" s="0">
        <f>J16=J15</f>
        <v/>
      </c>
    </row>
    <row r="18" ht="22.5" customHeight="1" s="97">
      <c r="J18" s="118">
        <f>J15-J16</f>
        <v/>
      </c>
    </row>
    <row r="27" ht="22.5" customHeight="1" s="97">
      <c r="B27" s="119" t="n"/>
      <c r="D27" s="119" t="n"/>
      <c r="E27" s="119" t="n"/>
      <c r="G27" s="119" t="n"/>
      <c r="H27" s="119" t="n"/>
      <c r="I27" s="119" t="n"/>
    </row>
    <row r="28" ht="22.5" customHeight="1" s="97">
      <c r="B28" s="119" t="n"/>
      <c r="D28" s="119" t="n"/>
      <c r="E28" s="119" t="n"/>
      <c r="G28" s="119" t="n"/>
      <c r="H28" s="119" t="n"/>
      <c r="I28" s="119" t="n"/>
    </row>
    <row r="29" ht="22.5" customHeight="1" s="97">
      <c r="B29" s="119" t="n"/>
      <c r="D29" s="119" t="n"/>
      <c r="E29" s="119" t="n"/>
      <c r="G29" s="119" t="n"/>
      <c r="H29" s="119" t="n"/>
      <c r="I29" s="119" t="n"/>
    </row>
    <row r="30" ht="22.5" customHeight="1" s="97">
      <c r="B30" s="119" t="n"/>
      <c r="D30" s="119" t="n"/>
      <c r="E30" s="119" t="n"/>
      <c r="G30" s="119" t="n"/>
      <c r="H30" s="119" t="n"/>
      <c r="I30" s="119" t="n"/>
    </row>
  </sheetData>
  <conditionalFormatting sqref="J17">
    <cfRule type="cellIs" priority="1" operator="equal" dxfId="0">
      <formula>TRUE</formula>
    </cfRule>
  </conditionalFormatting>
  <pageMargins left="0.7" right="0.7" top="0.75" bottom="0.75" header="0.3" footer="0.3"/>
  <pageSetup orientation="portrait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4" sqref="A14"/>
    </sheetView>
  </sheetViews>
  <sheetFormatPr baseColWidth="8" defaultRowHeight="16.5"/>
  <cols>
    <col width="13.25" customWidth="1" style="97" min="1" max="1"/>
    <col width="8.75" customWidth="1" style="97" min="2" max="2"/>
    <col width="15.25" customWidth="1" style="97" min="3" max="3"/>
    <col width="13.25" customWidth="1" style="97" min="4" max="8"/>
    <col width="25.875" customWidth="1" style="97" min="9" max="9"/>
    <col width="9.375" bestFit="1" customWidth="1" style="97" min="10" max="10"/>
    <col width="11" customWidth="1" style="97" min="11" max="11"/>
  </cols>
  <sheetData>
    <row r="1" ht="17.25" customHeight="1" s="97" thickBot="1">
      <c r="A1" s="7" t="inlineStr">
        <is>
          <t>연월</t>
        </is>
      </c>
      <c r="B1" s="7" t="inlineStr">
        <is>
          <t>요일</t>
        </is>
      </c>
      <c r="C1" s="10" t="inlineStr">
        <is>
          <t>일자</t>
        </is>
      </c>
      <c r="D1" s="10" t="inlineStr">
        <is>
          <t>분류1</t>
        </is>
      </c>
      <c r="E1" s="10" t="inlineStr">
        <is>
          <t>분류2</t>
        </is>
      </c>
      <c r="F1" s="10" t="inlineStr">
        <is>
          <t>차변</t>
        </is>
      </c>
      <c r="G1" s="10" t="inlineStr">
        <is>
          <t>대변</t>
        </is>
      </c>
      <c r="H1" s="7" t="inlineStr">
        <is>
          <t>대변-차변</t>
        </is>
      </c>
      <c r="I1" s="10" t="inlineStr">
        <is>
          <t>비고</t>
        </is>
      </c>
    </row>
    <row r="2" ht="17.25" customHeight="1" s="97" thickTop="1">
      <c r="A2" s="8" t="inlineStr">
        <is>
          <t>수식</t>
        </is>
      </c>
      <c r="B2" s="8" t="inlineStr">
        <is>
          <t>수식</t>
        </is>
      </c>
      <c r="C2" s="11" t="inlineStr">
        <is>
          <t>입력</t>
        </is>
      </c>
      <c r="D2" s="11" t="inlineStr">
        <is>
          <t>입력</t>
        </is>
      </c>
      <c r="E2" s="11" t="inlineStr">
        <is>
          <t>입력</t>
        </is>
      </c>
      <c r="F2" s="11" t="inlineStr">
        <is>
          <t>입력</t>
        </is>
      </c>
      <c r="G2" s="11" t="inlineStr">
        <is>
          <t>입력</t>
        </is>
      </c>
      <c r="H2" s="8" t="inlineStr">
        <is>
          <t>수식</t>
        </is>
      </c>
      <c r="I2" s="11" t="inlineStr">
        <is>
          <t>입력</t>
        </is>
      </c>
    </row>
    <row r="3">
      <c r="A3" s="9">
        <f>RIGHT(YEAR(C3),2)&amp;"년 "&amp;MONTH(C3)&amp;"월"</f>
        <v/>
      </c>
      <c r="B3" s="9">
        <f>VLOOKUP(WEEKDAY(C3,2),참조!$A$1:$B$10,2,)</f>
        <v/>
      </c>
      <c r="C3" s="13" t="n">
        <v>46143</v>
      </c>
      <c r="D3" s="13" t="inlineStr">
        <is>
          <t>입금</t>
        </is>
      </c>
      <c r="E3" s="13" t="inlineStr">
        <is>
          <t>회비</t>
        </is>
      </c>
      <c r="F3" s="120" t="n"/>
      <c r="G3" s="120">
        <f>SUMIFS(입금현황!$46:$46,입금현황!$1:$1,원장!$A3)</f>
        <v/>
      </c>
      <c r="H3" s="121">
        <f>G3-F3</f>
        <v/>
      </c>
      <c r="I3" s="15" t="inlineStr">
        <is>
          <t>월간회비납부</t>
        </is>
      </c>
    </row>
    <row r="4">
      <c r="A4" s="9">
        <f>RIGHT(YEAR(C4),2)&amp;"년 "&amp;MONTH(C4)&amp;"월"</f>
        <v/>
      </c>
      <c r="B4" s="9">
        <f>VLOOKUP(WEEKDAY(C4,2),참조!$A$1:$B$10,2,)</f>
        <v/>
      </c>
      <c r="C4" s="13" t="n">
        <v>46173</v>
      </c>
      <c r="D4" s="13" t="inlineStr">
        <is>
          <t>입금</t>
        </is>
      </c>
      <c r="E4" s="13" t="inlineStr">
        <is>
          <t>이자</t>
        </is>
      </c>
      <c r="F4" s="120" t="n"/>
      <c r="G4" s="120" t="n">
        <v>27</v>
      </c>
      <c r="H4" s="121">
        <f>G4-F4</f>
        <v/>
      </c>
      <c r="I4" s="15" t="inlineStr">
        <is>
          <t>월간이자_잔액맞추기용</t>
        </is>
      </c>
    </row>
    <row r="5">
      <c r="A5" s="9">
        <f>RIGHT(YEAR(C5),2)&amp;"년 "&amp;MONTH(C5)&amp;"월"</f>
        <v/>
      </c>
      <c r="B5" s="9">
        <f>VLOOKUP(WEEKDAY(C5,2),참조!$A$1:$B$10,2,)</f>
        <v/>
      </c>
      <c r="C5" s="13" t="n">
        <v>46159</v>
      </c>
      <c r="D5" s="13" t="inlineStr">
        <is>
          <t>출금</t>
        </is>
      </c>
      <c r="E5" s="13" t="inlineStr">
        <is>
          <t>모임비</t>
        </is>
      </c>
      <c r="F5" s="120" t="n">
        <v>410600</v>
      </c>
      <c r="G5" s="120" t="n"/>
      <c r="H5" s="121">
        <f>G5-F5</f>
        <v/>
      </c>
      <c r="I5" s="15" t="inlineStr">
        <is>
          <t>권기표, 상품 등</t>
        </is>
      </c>
    </row>
    <row r="6">
      <c r="A6" s="9">
        <f>RIGHT(YEAR(C6),2)&amp;"년 "&amp;MONTH(C6)&amp;"월"</f>
        <v/>
      </c>
      <c r="B6" s="9">
        <f>VLOOKUP(WEEKDAY(C6,2),참조!$A$1:$B$10,2,)</f>
        <v/>
      </c>
      <c r="C6" s="13" t="n">
        <v>46174</v>
      </c>
      <c r="D6" s="13" t="inlineStr">
        <is>
          <t>입금</t>
        </is>
      </c>
      <c r="E6" s="13" t="inlineStr">
        <is>
          <t>회비</t>
        </is>
      </c>
      <c r="F6" s="120" t="n"/>
      <c r="G6" s="120">
        <f>SUMIFS(입금현황!$46:$46,입금현황!$1:$1,원장!$A6)</f>
        <v/>
      </c>
      <c r="H6" s="121">
        <f>G6-F6</f>
        <v/>
      </c>
      <c r="I6" s="15" t="inlineStr">
        <is>
          <t>월간회비납부</t>
        </is>
      </c>
    </row>
    <row r="7">
      <c r="A7" s="9">
        <f>RIGHT(YEAR(C7),2)&amp;"년 "&amp;MONTH(C7)&amp;"월"</f>
        <v/>
      </c>
      <c r="B7" s="9">
        <f>VLOOKUP(WEEKDAY(C7,2),참조!$A$1:$B$10,2,)</f>
        <v/>
      </c>
      <c r="C7" s="13" t="n">
        <v>46174</v>
      </c>
      <c r="D7" s="13" t="inlineStr">
        <is>
          <t>출금</t>
        </is>
      </c>
      <c r="E7" s="13" t="inlineStr">
        <is>
          <t>모임비</t>
        </is>
      </c>
      <c r="F7" s="120" t="n">
        <v>94300</v>
      </c>
      <c r="G7" s="120" t="n"/>
      <c r="H7" s="121">
        <f>G7-F7</f>
        <v/>
      </c>
      <c r="I7" s="15" t="inlineStr">
        <is>
          <t>황인호, 현수막 제작 등 (은행확인 6/1)</t>
        </is>
      </c>
    </row>
    <row r="8">
      <c r="A8" s="4">
        <f>RIGHT(YEAR(C8),2)&amp;"년 "&amp;MONTH(C8)&amp;"월"</f>
        <v/>
      </c>
      <c r="B8" s="4">
        <f>VLOOKUP(WEEKDAY(C8,2),참조!$A$1:$B$10,2,)</f>
        <v/>
      </c>
      <c r="C8" s="136" t="n">
        <v>46185</v>
      </c>
      <c r="D8" s="136" t="inlineStr">
        <is>
          <t>출금</t>
        </is>
      </c>
      <c r="E8" s="136" t="inlineStr">
        <is>
          <t>경품비</t>
        </is>
      </c>
      <c r="F8" s="137" t="n">
        <v>180000</v>
      </c>
      <c r="G8" s="137" t="n"/>
      <c r="H8" s="138">
        <f>G8-F8</f>
        <v/>
      </c>
      <c r="I8" s="139" t="inlineStr">
        <is>
          <t>대회 당일 카카오페이 정산(6건)</t>
        </is>
      </c>
    </row>
    <row r="9">
      <c r="A9" s="4">
        <f>RIGHT(YEAR(C9),2)&amp;"년 "&amp;MONTH(C9)&amp;"월"</f>
        <v/>
      </c>
      <c r="B9" s="4">
        <f>VLOOKUP(WEEKDAY(C9,2),참조!$A$1:$B$10,2,)</f>
        <v/>
      </c>
      <c r="C9" s="136" t="n">
        <v>46185</v>
      </c>
      <c r="D9" s="136" t="inlineStr">
        <is>
          <t>출금</t>
        </is>
      </c>
      <c r="E9" s="136" t="inlineStr">
        <is>
          <t>경품비</t>
        </is>
      </c>
      <c r="F9" s="137" t="n">
        <v>90000</v>
      </c>
      <c r="G9" s="137" t="n"/>
      <c r="H9" s="138">
        <f>G9-F9</f>
        <v/>
      </c>
      <c r="I9" s="139" t="inlineStr">
        <is>
          <t>옥지엽 이체</t>
        </is>
      </c>
    </row>
    <row r="10">
      <c r="A10" s="4">
        <f>RIGHT(YEAR(C10),2)&amp;"년 "&amp;MONTH(C10)&amp;"월"</f>
        <v/>
      </c>
      <c r="B10" s="4">
        <f>VLOOKUP(WEEKDAY(C10,2),참조!$A$1:$B$10,2,)</f>
        <v/>
      </c>
      <c r="C10" s="136" t="n">
        <v>46187</v>
      </c>
      <c r="D10" s="136" t="inlineStr">
        <is>
          <t>출금</t>
        </is>
      </c>
      <c r="E10" s="136" t="inlineStr">
        <is>
          <t>모임비</t>
        </is>
      </c>
      <c r="F10" s="137" t="n">
        <v>328000</v>
      </c>
      <c r="G10" s="137" t="n"/>
      <c r="H10" s="138">
        <f>G10-F10</f>
        <v/>
      </c>
      <c r="I10" s="139" t="inlineStr">
        <is>
          <t>황인호, 술값</t>
        </is>
      </c>
    </row>
    <row r="11">
      <c r="A11" s="4">
        <f>RIGHT(YEAR(C11),2)&amp;"년 "&amp;MONTH(C11)&amp;"월"</f>
        <v/>
      </c>
      <c r="B11" s="4">
        <f>VLOOKUP(WEEKDAY(C11,2),참조!$A$1:$B$10,2,)</f>
        <v/>
      </c>
      <c r="C11" s="136" t="n">
        <v>46200</v>
      </c>
      <c r="D11" s="136" t="inlineStr">
        <is>
          <t>입금</t>
        </is>
      </c>
      <c r="E11" s="136" t="inlineStr">
        <is>
          <t>이자</t>
        </is>
      </c>
      <c r="F11" s="137" t="n"/>
      <c r="G11" s="137" t="n">
        <v>63</v>
      </c>
      <c r="H11" s="138">
        <f>G11-F11</f>
        <v/>
      </c>
      <c r="I11" s="139" t="inlineStr">
        <is>
          <t>월간이자</t>
        </is>
      </c>
    </row>
    <row r="12">
      <c r="A12" s="4">
        <f>RIGHT(YEAR(C12),2)&amp;"년 "&amp;MONTH(C12)&amp;"월"</f>
        <v/>
      </c>
      <c r="B12" s="4">
        <f>VLOOKUP(WEEKDAY(C12,2),참조!$A$1:$B$10,2,)</f>
        <v/>
      </c>
      <c r="C12" s="136" t="n">
        <v>46204</v>
      </c>
      <c r="D12" s="136" t="inlineStr">
        <is>
          <t>입금</t>
        </is>
      </c>
      <c r="E12" s="136" t="inlineStr">
        <is>
          <t>회비</t>
        </is>
      </c>
      <c r="F12" s="137" t="n"/>
      <c r="G12" s="137">
        <f>SUMIFS(입금현황!$46:$46,입금현황!$1:$1,원장!$A12)</f>
        <v/>
      </c>
      <c r="H12" s="138">
        <f>G12-F12</f>
        <v/>
      </c>
      <c r="I12" s="139" t="inlineStr">
        <is>
          <t>월간회비납부</t>
        </is>
      </c>
    </row>
    <row r="13">
      <c r="A13" s="9">
        <f>RIGHT(YEAR(C13),2)&amp;"년 "&amp;MONTH(C13)&amp;"월"</f>
        <v/>
      </c>
      <c r="B13" s="9">
        <f>VLOOKUP(WEEKDAY(C13,2),참조!$A$1:$B$10,2,)</f>
        <v/>
      </c>
      <c r="C13" s="13" t="n">
        <v>46235</v>
      </c>
      <c r="D13" s="13" t="inlineStr">
        <is>
          <t>입금</t>
        </is>
      </c>
      <c r="E13" s="13" t="inlineStr">
        <is>
          <t>회비</t>
        </is>
      </c>
      <c r="F13" s="120" t="n"/>
      <c r="G13" s="120">
        <f>SUMIFS(입금현황!$46:$46,입금현황!$1:$1,원장!$A13)</f>
        <v/>
      </c>
      <c r="H13" s="121">
        <f>G13-F13</f>
        <v/>
      </c>
      <c r="I13" s="15" t="inlineStr">
        <is>
          <t>월간회비납부</t>
        </is>
      </c>
    </row>
    <row r="14">
      <c r="A14" s="9">
        <f>RIGHT(YEAR(C14),2)&amp;"년 "&amp;MONTH(C14)&amp;"월"</f>
        <v/>
      </c>
      <c r="B14" s="9">
        <f>VLOOKUP(WEEKDAY(C14,2),참조!$A$1:$B$10,2,)</f>
        <v/>
      </c>
      <c r="C14" s="13" t="n">
        <v>46266</v>
      </c>
      <c r="D14" s="13" t="inlineStr">
        <is>
          <t>입금</t>
        </is>
      </c>
      <c r="E14" s="13" t="inlineStr">
        <is>
          <t>회비</t>
        </is>
      </c>
      <c r="F14" s="120" t="n"/>
      <c r="G14" s="120">
        <f>SUMIFS(입금현황!$46:$46,입금현황!$1:$1,원장!$A14)</f>
        <v/>
      </c>
      <c r="H14" s="121">
        <f>G14-F14</f>
        <v/>
      </c>
      <c r="I14" s="15" t="inlineStr">
        <is>
          <t>월간회비납부</t>
        </is>
      </c>
    </row>
    <row r="15">
      <c r="A15" s="9">
        <f>RIGHT(YEAR(C15),2)&amp;"년 "&amp;MONTH(C15)&amp;"월"</f>
        <v/>
      </c>
      <c r="B15" s="9">
        <f>VLOOKUP(WEEKDAY(C15,2),참조!$A$1:$B$10,2,)</f>
        <v/>
      </c>
      <c r="C15" s="13" t="n">
        <v>46296</v>
      </c>
      <c r="D15" s="13" t="inlineStr">
        <is>
          <t>입금</t>
        </is>
      </c>
      <c r="E15" s="13" t="inlineStr">
        <is>
          <t>회비</t>
        </is>
      </c>
      <c r="F15" s="120" t="n"/>
      <c r="G15" s="120">
        <f>SUMIFS(입금현황!$46:$46,입금현황!$1:$1,원장!$A15)</f>
        <v/>
      </c>
      <c r="H15" s="121">
        <f>G15-F15</f>
        <v/>
      </c>
      <c r="I15" s="15" t="inlineStr">
        <is>
          <t>월간회비납부</t>
        </is>
      </c>
    </row>
    <row r="16">
      <c r="A16" s="9">
        <f>RIGHT(YEAR(C16),2)&amp;"년 "&amp;MONTH(C16)&amp;"월"</f>
        <v/>
      </c>
      <c r="B16" s="9">
        <f>VLOOKUP(WEEKDAY(C16,2),참조!$A$1:$B$10,2,)</f>
        <v/>
      </c>
      <c r="C16" s="13" t="n">
        <v>46327</v>
      </c>
      <c r="D16" s="13" t="inlineStr">
        <is>
          <t>입금</t>
        </is>
      </c>
      <c r="E16" s="13" t="inlineStr">
        <is>
          <t>회비</t>
        </is>
      </c>
      <c r="F16" s="120" t="n"/>
      <c r="G16" s="120">
        <f>SUMIFS(입금현황!$46:$46,입금현황!$1:$1,원장!$A16)</f>
        <v/>
      </c>
      <c r="H16" s="121">
        <f>G16-F16</f>
        <v/>
      </c>
      <c r="I16" s="15" t="inlineStr">
        <is>
          <t>월간회비납부</t>
        </is>
      </c>
    </row>
    <row r="17">
      <c r="A17" s="9">
        <f>RIGHT(YEAR(C17),2)&amp;"년 "&amp;MONTH(C17)&amp;"월"</f>
        <v/>
      </c>
      <c r="B17" s="9">
        <f>VLOOKUP(WEEKDAY(C17,2),참조!$A$1:$B$10,2,)</f>
        <v/>
      </c>
      <c r="C17" s="13" t="n">
        <v>46357</v>
      </c>
      <c r="D17" s="13" t="inlineStr">
        <is>
          <t>입금</t>
        </is>
      </c>
      <c r="E17" s="13" t="inlineStr">
        <is>
          <t>회비</t>
        </is>
      </c>
      <c r="F17" s="120" t="n"/>
      <c r="G17" s="120">
        <f>SUMIFS(입금현황!$46:$46,입금현황!$1:$1,원장!$A17)</f>
        <v/>
      </c>
      <c r="H17" s="121">
        <f>G17-F17</f>
        <v/>
      </c>
      <c r="I17" s="15" t="inlineStr">
        <is>
          <t>월간회비납부</t>
        </is>
      </c>
    </row>
    <row r="18">
      <c r="A18" s="4">
        <f>RIGHT(YEAR(C18),2)&amp;"년 "&amp;MONTH(C18)&amp;"월"</f>
        <v/>
      </c>
      <c r="B18" s="4">
        <f>VLOOKUP(WEEKDAY(C18,2),참조!$A$1:$B$10,2,)</f>
        <v/>
      </c>
      <c r="C18" s="136" t="n">
        <v>46222</v>
      </c>
      <c r="D18" s="136" t="inlineStr">
        <is>
          <t>출금</t>
        </is>
      </c>
      <c r="E18" s="136" t="inlineStr">
        <is>
          <t>모임비</t>
        </is>
      </c>
      <c r="F18" s="137" t="n">
        <v>559000</v>
      </c>
      <c r="G18" s="137" t="n"/>
      <c r="H18" s="138">
        <f>G18-F18</f>
        <v/>
      </c>
      <c r="I18" s="139" t="inlineStr">
        <is>
          <t>카카오페이 자동이체, 7월 모임비</t>
        </is>
      </c>
    </row>
    <row r="19">
      <c r="A19" s="4">
        <f>RIGHT(YEAR(C19),2)&amp;"년 "&amp;MONTH(C19)&amp;"월"</f>
        <v/>
      </c>
      <c r="B19" s="4">
        <f>VLOOKUP(WEEKDAY(C19,2),참조!$A$1:$B$10,2,)</f>
        <v/>
      </c>
      <c r="C19" s="136" t="n">
        <v>46228</v>
      </c>
      <c r="D19" s="136" t="inlineStr">
        <is>
          <t>입금</t>
        </is>
      </c>
      <c r="E19" s="136" t="inlineStr">
        <is>
          <t>이자</t>
        </is>
      </c>
      <c r="F19" s="137" t="n"/>
      <c r="G19" s="137" t="n">
        <v>81</v>
      </c>
      <c r="H19" s="138">
        <f>G19-F19</f>
        <v/>
      </c>
      <c r="I19" s="139" t="inlineStr">
        <is>
          <t>월간이자</t>
        </is>
      </c>
    </row>
    <row r="20">
      <c r="A20" s="4">
        <f>RIGHT(YEAR(C20),2)&amp;"년 "&amp;MONTH(C20)&amp;"월"</f>
        <v/>
      </c>
      <c r="B20" s="4">
        <f>VLOOKUP(WEEKDAY(C20,2),참조!$A$1:$B$10,2,)</f>
        <v/>
      </c>
      <c r="C20" s="136" t="n">
        <v>46388</v>
      </c>
      <c r="D20" s="136" t="inlineStr">
        <is>
          <t>입금</t>
        </is>
      </c>
      <c r="E20" s="136" t="inlineStr">
        <is>
          <t>회비</t>
        </is>
      </c>
      <c r="F20" s="137" t="n"/>
      <c r="G20" s="137">
        <f>SUMIFS(입금현황!$46:$46,입금현황!$1:$1,원장!$A20)</f>
        <v/>
      </c>
      <c r="H20" s="138">
        <f>G20-F20</f>
        <v/>
      </c>
      <c r="I20" s="139" t="inlineStr">
        <is>
          <t>월간회비납부</t>
        </is>
      </c>
    </row>
    <row r="21">
      <c r="A21" s="4">
        <f>RIGHT(YEAR(C21),2)&amp;"년 "&amp;MONTH(C21)&amp;"월"</f>
        <v/>
      </c>
      <c r="B21" s="4">
        <f>VLOOKUP(WEEKDAY(C21,2),참조!$A$1:$B$10,2,)</f>
        <v/>
      </c>
      <c r="C21" s="136" t="n">
        <v>46263</v>
      </c>
      <c r="D21" s="136" t="inlineStr">
        <is>
          <t>입금</t>
        </is>
      </c>
      <c r="E21" s="136" t="inlineStr">
        <is>
          <t>이자</t>
        </is>
      </c>
      <c r="F21" s="137" t="n"/>
      <c r="G21" s="137" t="n">
        <v>115</v>
      </c>
      <c r="H21" s="138">
        <f>G21-F21</f>
        <v/>
      </c>
      <c r="I21" s="139" t="inlineStr">
        <is>
          <t>예금이자(8월)</t>
        </is>
      </c>
    </row>
    <row r="22">
      <c r="A22" s="4" t="n"/>
      <c r="B22" s="4" t="n"/>
      <c r="C22" s="136" t="n"/>
      <c r="D22" s="136" t="n"/>
      <c r="E22" s="136" t="n"/>
      <c r="F22" s="137" t="n"/>
      <c r="G22" s="137" t="n"/>
      <c r="H22" s="138" t="n"/>
      <c r="I22" s="139" t="n"/>
    </row>
    <row r="23">
      <c r="A23" s="4">
        <f>RIGHT(YEAR(C23),2)&amp;"년 "&amp;MONTH(C23)&amp;"월"</f>
        <v/>
      </c>
      <c r="B23" s="4">
        <f>VLOOKUP(WEEKDAY(C23,2),참조!$A$1:$B$10,2,)</f>
        <v/>
      </c>
      <c r="C23" s="136" t="n">
        <v>46277</v>
      </c>
      <c r="D23" s="136" t="inlineStr">
        <is>
          <t>출금</t>
        </is>
      </c>
      <c r="E23" s="136" t="inlineStr">
        <is>
          <t>모임비</t>
        </is>
      </c>
      <c r="F23" s="137" t="n">
        <v>262000</v>
      </c>
      <c r="G23" s="137" t="n"/>
      <c r="H23" s="138">
        <f>G23-F23</f>
        <v/>
      </c>
      <c r="I23" s="139" t="inlineStr">
        <is>
          <t>점심식대</t>
        </is>
      </c>
    </row>
    <row r="24">
      <c r="A24" s="4">
        <f>RIGHT(YEAR(C24),2)&amp;"년 "&amp;MONTH(C24)&amp;"월"</f>
        <v/>
      </c>
      <c r="B24" s="4">
        <f>VLOOKUP(WEEKDAY(C24,2),참조!$A$1:$B$10,2,)</f>
        <v/>
      </c>
      <c r="C24" s="136" t="n">
        <v>46291</v>
      </c>
      <c r="D24" s="136" t="inlineStr">
        <is>
          <t>입금</t>
        </is>
      </c>
      <c r="E24" s="136" t="inlineStr">
        <is>
          <t>이자</t>
        </is>
      </c>
      <c r="F24" s="137" t="n"/>
      <c r="G24" s="137" t="n">
        <v>129</v>
      </c>
      <c r="H24" s="138">
        <f>G24-F24</f>
        <v/>
      </c>
      <c r="I24" s="139" t="inlineStr">
        <is>
          <t>입출금통장 이자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2"/>
  <sheetViews>
    <sheetView zoomScale="85" zoomScaleNormal="85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B32" sqref="B32:S36"/>
    </sheetView>
  </sheetViews>
  <sheetFormatPr baseColWidth="8" defaultRowHeight="16.5" customHeight="1"/>
  <cols>
    <col width="2.375" customWidth="1" style="97" min="1" max="1"/>
    <col width="12.25" customWidth="1" style="97" min="2" max="19"/>
  </cols>
  <sheetData>
    <row r="2" ht="27.75" customHeight="1" s="97">
      <c r="B2" s="57" t="inlineStr">
        <is>
          <t>연월</t>
        </is>
      </c>
      <c r="C2" s="57" t="inlineStr">
        <is>
          <t>개월수 역산</t>
        </is>
      </c>
      <c r="D2" s="60" t="inlineStr">
        <is>
          <t>입금</t>
        </is>
      </c>
      <c r="E2" s="60" t="n"/>
      <c r="F2" s="60" t="n"/>
      <c r="G2" s="60" t="n"/>
      <c r="H2" s="60" t="inlineStr">
        <is>
          <t>출금</t>
        </is>
      </c>
      <c r="I2" s="60" t="n"/>
      <c r="J2" s="60" t="n"/>
      <c r="K2" s="60" t="n"/>
      <c r="L2" s="60" t="n"/>
    </row>
    <row r="3" ht="27.75" customHeight="1" s="97">
      <c r="B3" s="57" t="inlineStr">
        <is>
          <t>연월</t>
        </is>
      </c>
      <c r="C3" s="57" t="inlineStr">
        <is>
          <t>개월수 역산</t>
        </is>
      </c>
      <c r="D3" s="54" t="inlineStr">
        <is>
          <t>회비</t>
        </is>
      </c>
      <c r="E3" s="54" t="inlineStr">
        <is>
          <t>지각비</t>
        </is>
      </c>
      <c r="F3" s="54" t="inlineStr">
        <is>
          <t>이자</t>
        </is>
      </c>
      <c r="G3" s="54" t="inlineStr">
        <is>
          <t>계</t>
        </is>
      </c>
      <c r="H3" s="54" t="inlineStr">
        <is>
          <t>모임비</t>
        </is>
      </c>
      <c r="I3" s="54" t="inlineStr">
        <is>
          <t>강연비</t>
        </is>
      </c>
      <c r="J3" s="54" t="inlineStr">
        <is>
          <t>경조사비</t>
        </is>
      </c>
      <c r="K3" s="54" t="inlineStr">
        <is>
          <t>경품비</t>
        </is>
      </c>
      <c r="L3" s="54" t="inlineStr">
        <is>
          <t>계</t>
        </is>
      </c>
    </row>
    <row r="4" ht="27.75" customHeight="1" s="97">
      <c r="B4" s="55" t="inlineStr">
        <is>
          <t>전체평균</t>
        </is>
      </c>
      <c r="C4" s="55" t="n"/>
      <c r="D4" s="123">
        <f>AVERAGEIFS(D10:D2203,D10:D2203,"&gt;0")</f>
        <v/>
      </c>
      <c r="E4" s="123">
        <f>AVERAGEIFS(E10:E2203,E10:E2203,"&gt;0")</f>
        <v/>
      </c>
      <c r="F4" s="123">
        <f>AVERAGEIFS(F10:F2203,F10:F2203,"&gt;0")</f>
        <v/>
      </c>
      <c r="G4" s="123">
        <f>AVERAGEIFS(G10:G2203,G10:G2203,"&gt;0")</f>
        <v/>
      </c>
      <c r="H4" s="123">
        <f>AVERAGEIFS(H10:H2203,H10:H2203,"&lt;0")</f>
        <v/>
      </c>
      <c r="I4" s="124">
        <f>AVERAGEIFS(I10:I2203,I10:I2203,"&lt;0")</f>
        <v/>
      </c>
      <c r="J4" s="124">
        <f>AVERAGEIFS(J10:J2203,J10:J2203,"&lt;0")</f>
        <v/>
      </c>
      <c r="K4" s="124">
        <f>AVERAGEIFS(K10:K2203,K10:K2203,"&lt;0")</f>
        <v/>
      </c>
      <c r="L4" s="124">
        <f>AVERAGEIFS(L10:L2203,L10:L2203,"&lt;0")</f>
        <v/>
      </c>
    </row>
    <row r="5" ht="27.75" customHeight="1" s="97">
      <c r="A5" s="53" t="n">
        <v>3</v>
      </c>
      <c r="B5" s="69" t="inlineStr">
        <is>
          <t>최근3개월평균</t>
        </is>
      </c>
      <c r="C5" s="55" t="n"/>
      <c r="D5" s="123">
        <f>AVERAGEIFS(D8:D2201,$C$10:$C$2203,"&lt;=3")</f>
        <v/>
      </c>
      <c r="E5" s="123">
        <f>AVERAGEIFS(E8:E2201,$C$10:$C$2203,"&lt;=3")</f>
        <v/>
      </c>
      <c r="F5" s="123">
        <f>AVERAGEIFS(F8:F2201,$C$10:$C$2203,"&lt;=3")</f>
        <v/>
      </c>
      <c r="G5" s="125">
        <f>AVERAGEIFS(G8:G2201,$C$10:$C$2203,"&lt;=3")</f>
        <v/>
      </c>
      <c r="H5" s="123">
        <f>AVERAGEIFS(H$10:H$2203,$C$10:$C$2203,"&lt;=3")</f>
        <v/>
      </c>
      <c r="I5" s="123">
        <f>AVERAGEIFS(I$10:I$2203,$C$10:$C$2203,"&lt;=3")</f>
        <v/>
      </c>
      <c r="J5" s="123">
        <f>AVERAGEIFS(J$10:J$2203,$C$10:$C$2203,"&lt;=3")</f>
        <v/>
      </c>
      <c r="K5" s="123">
        <f>AVERAGEIFS(K$10:K$2203,$C$10:$C$2203,"&lt;=3")</f>
        <v/>
      </c>
      <c r="L5" s="126">
        <f>AVERAGEIFS(L$10:L$2203,$C$10:$C$2203,"&lt;=3")</f>
        <v/>
      </c>
    </row>
    <row r="6" ht="27.75" customHeight="1" s="97">
      <c r="A6" s="53" t="n">
        <v>6</v>
      </c>
      <c r="B6" s="69" t="inlineStr">
        <is>
          <t>최근6개월평균</t>
        </is>
      </c>
      <c r="C6" s="55" t="n"/>
      <c r="D6" s="123">
        <f>AVERAGEIFS(D9:D2202,$C$10:$C$2203,"&lt;=6")</f>
        <v/>
      </c>
      <c r="E6" s="123">
        <f>AVERAGEIFS(E9:E2202,$C$10:$C$2203,"&lt;=6")</f>
        <v/>
      </c>
      <c r="F6" s="123">
        <f>AVERAGEIFS(F9:F2202,$C$10:$C$2203,"&lt;=6")</f>
        <v/>
      </c>
      <c r="G6" s="125">
        <f>AVERAGEIFS(G9:G2202,$C$10:$C$2203,"&lt;=6")</f>
        <v/>
      </c>
      <c r="H6" s="123">
        <f>AVERAGEIFS(H$10:H$2203,$C$10:$C$2203,"&lt;=6")</f>
        <v/>
      </c>
      <c r="I6" s="123">
        <f>AVERAGEIFS(I$10:I$2203,$C$10:$C$2203,"&lt;=6")</f>
        <v/>
      </c>
      <c r="J6" s="123">
        <f>AVERAGEIFS(J$10:J$2203,$C$10:$C$2203,"&lt;=6")</f>
        <v/>
      </c>
      <c r="K6" s="123">
        <f>AVERAGEIFS(K$10:K$2203,$C$10:$C$2203,"&lt;=6")</f>
        <v/>
      </c>
      <c r="L6" s="126">
        <f>AVERAGEIFS(L$10:L$2203,$C$10:$C$2203,"&lt;=6")</f>
        <v/>
      </c>
    </row>
    <row r="7" ht="27.75" customHeight="1" s="97">
      <c r="A7" s="53" t="n">
        <v>12</v>
      </c>
      <c r="B7" s="69" t="inlineStr">
        <is>
          <t>최근12개월평균</t>
        </is>
      </c>
      <c r="C7" s="55" t="n"/>
      <c r="D7" s="123">
        <f>AVERAGEIFS(D10:D2203,$C$10:$C$2203,"&lt;=12")</f>
        <v/>
      </c>
      <c r="E7" s="123">
        <f>AVERAGEIFS(E10:E2203,$C$10:$C$2203,"&lt;=12")</f>
        <v/>
      </c>
      <c r="F7" s="123">
        <f>AVERAGEIFS(F10:F2203,$C$10:$C$2203,"&lt;=12")</f>
        <v/>
      </c>
      <c r="G7" s="125">
        <f>AVERAGEIFS(G10:G2203,$C$10:$C$2203,"&lt;=12")</f>
        <v/>
      </c>
      <c r="H7" s="123">
        <f>AVERAGEIFS(H$10:H$2203,$C$10:$C$2203,"&lt;=12")</f>
        <v/>
      </c>
      <c r="I7" s="123">
        <f>AVERAGEIFS(I$10:I$2203,$C$10:$C$2203,"&lt;=12")</f>
        <v/>
      </c>
      <c r="J7" s="123">
        <f>AVERAGEIFS(J$10:J$2203,$C$10:$C$2203,"&lt;=12")</f>
        <v/>
      </c>
      <c r="K7" s="123">
        <f>AVERAGEIFS(K$10:K$2203,$C$10:$C$2203,"&lt;=12")</f>
        <v/>
      </c>
      <c r="L7" s="126">
        <f>AVERAGEIFS(L$10:L$2203,$C$10:$C$2203,"&lt;=12")</f>
        <v/>
      </c>
    </row>
    <row r="9" ht="16.5" customHeight="1" s="97">
      <c r="B9" s="57" t="inlineStr">
        <is>
          <t>연월</t>
        </is>
      </c>
      <c r="C9" s="57" t="inlineStr">
        <is>
          <t>개월수 역산</t>
        </is>
      </c>
      <c r="D9" s="9" t="inlineStr">
        <is>
          <t>입금</t>
        </is>
      </c>
      <c r="E9" s="9" t="inlineStr">
        <is>
          <t>입금</t>
        </is>
      </c>
      <c r="F9" s="9" t="inlineStr">
        <is>
          <t>입금</t>
        </is>
      </c>
      <c r="G9" s="56" t="inlineStr">
        <is>
          <t>입금</t>
        </is>
      </c>
      <c r="H9" s="9" t="inlineStr">
        <is>
          <t>출금</t>
        </is>
      </c>
      <c r="I9" s="9" t="inlineStr">
        <is>
          <t>출금</t>
        </is>
      </c>
      <c r="J9" s="9" t="inlineStr">
        <is>
          <t>출금</t>
        </is>
      </c>
      <c r="K9" s="9" t="inlineStr">
        <is>
          <t>출금</t>
        </is>
      </c>
      <c r="L9" s="56" t="inlineStr">
        <is>
          <t>출금</t>
        </is>
      </c>
      <c r="M9" s="60" t="inlineStr">
        <is>
          <t>입금-출금</t>
        </is>
      </c>
      <c r="N9" s="61" t="n"/>
      <c r="P9" s="53" t="inlineStr">
        <is>
          <t>차트용</t>
        </is>
      </c>
    </row>
    <row r="10" ht="16.5" customHeight="1" s="97">
      <c r="B10" s="57" t="inlineStr">
        <is>
          <t>연월</t>
        </is>
      </c>
      <c r="C10" s="57" t="inlineStr">
        <is>
          <t>개월수 역산</t>
        </is>
      </c>
      <c r="D10" s="58" t="inlineStr">
        <is>
          <t>회비</t>
        </is>
      </c>
      <c r="E10" s="58" t="inlineStr">
        <is>
          <t>지각비</t>
        </is>
      </c>
      <c r="F10" s="58" t="inlineStr">
        <is>
          <t>이자</t>
        </is>
      </c>
      <c r="G10" s="54" t="inlineStr">
        <is>
          <t>계</t>
        </is>
      </c>
      <c r="H10" s="58" t="inlineStr">
        <is>
          <t>모임비</t>
        </is>
      </c>
      <c r="I10" s="58" t="inlineStr">
        <is>
          <t>강연비</t>
        </is>
      </c>
      <c r="J10" s="58" t="inlineStr">
        <is>
          <t>경조사비</t>
        </is>
      </c>
      <c r="K10" s="58" t="inlineStr">
        <is>
          <t>경품비</t>
        </is>
      </c>
      <c r="L10" s="54" t="inlineStr">
        <is>
          <t>계</t>
        </is>
      </c>
      <c r="M10" s="57" t="inlineStr">
        <is>
          <t>계</t>
        </is>
      </c>
      <c r="N10" s="56" t="inlineStr">
        <is>
          <t>누적</t>
        </is>
      </c>
      <c r="P10" s="57" t="inlineStr">
        <is>
          <t>연월</t>
        </is>
      </c>
      <c r="Q10" s="63" t="inlineStr">
        <is>
          <t>입금</t>
        </is>
      </c>
      <c r="R10" s="64" t="inlineStr">
        <is>
          <t>출금</t>
        </is>
      </c>
      <c r="S10" s="58" t="inlineStr">
        <is>
          <t>누적</t>
        </is>
      </c>
    </row>
    <row r="11" ht="16.5" customHeight="1" s="97">
      <c r="B11" s="55" t="inlineStr">
        <is>
          <t>24년 6월</t>
        </is>
      </c>
      <c r="C11" s="3">
        <f>IF($B11=참고!$D$5,1,C12+1)</f>
        <v/>
      </c>
      <c r="D11" s="123">
        <f>SUMIFS(원장!$H:$H,원장!$A:$A,증감분석!$B11,원장!$D:$D,증감분석!D$9,원장!$E:$E,증감분석!D$10)</f>
        <v/>
      </c>
      <c r="E11" s="123">
        <f>SUMIFS(원장!$H:$H,원장!$A:$A,증감분석!$B11,원장!$D:$D,증감분석!E$9,원장!$E:$E,증감분석!E$10)</f>
        <v/>
      </c>
      <c r="F11" s="123">
        <f>SUMIFS(원장!$H:$H,원장!$A:$A,증감분석!$B11,원장!$D:$D,증감분석!F$9,원장!$E:$E,증감분석!F$10)</f>
        <v/>
      </c>
      <c r="G11" s="123">
        <f>SUM(D11:F11)</f>
        <v/>
      </c>
      <c r="H11" s="123">
        <f>SUMIFS(원장!$H:$H,원장!$A:$A,증감분석!$B11,원장!$D:$D,증감분석!H$9,원장!$E:$E,증감분석!H$10)</f>
        <v/>
      </c>
      <c r="I11" s="123">
        <f>SUMIFS(원장!$H:$H,원장!$A:$A,증감분석!$B11,원장!$D:$D,증감분석!I$9,원장!$E:$E,증감분석!I$10)</f>
        <v/>
      </c>
      <c r="J11" s="123">
        <f>SUMIFS(원장!$H:$H,원장!$A:$A,증감분석!$B11,원장!$D:$D,증감분석!J$9,원장!$E:$E,증감분석!J$10)</f>
        <v/>
      </c>
      <c r="K11" s="123">
        <f>SUMIFS(원장!$H:$H,원장!$A:$A,증감분석!$B11,원장!$D:$D,증감분석!K$9,원장!$E:$E,증감분석!K$10)</f>
        <v/>
      </c>
      <c r="L11" s="123">
        <f>SUM(H11:K11)</f>
        <v/>
      </c>
      <c r="M11" s="123">
        <f>G11+L11</f>
        <v/>
      </c>
      <c r="N11" s="123">
        <f>SUM($M$11:M11)</f>
        <v/>
      </c>
      <c r="P11" s="55">
        <f>B11</f>
        <v/>
      </c>
      <c r="Q11" s="123">
        <f>G11</f>
        <v/>
      </c>
      <c r="R11" s="127">
        <f>-L11</f>
        <v/>
      </c>
      <c r="S11" s="123">
        <f>N11</f>
        <v/>
      </c>
    </row>
    <row r="12" ht="16.5" customHeight="1" s="97">
      <c r="B12" s="55" t="inlineStr">
        <is>
          <t>24년 7월</t>
        </is>
      </c>
      <c r="C12" s="3">
        <f>IF($B12=참고!$D$5,1,C13+1)</f>
        <v/>
      </c>
      <c r="D12" s="123">
        <f>SUMIFS(원장!$H:$H,원장!$A:$A,증감분석!$B12,원장!$D:$D,증감분석!D$9,원장!$E:$E,증감분석!D$10)</f>
        <v/>
      </c>
      <c r="E12" s="123">
        <f>SUMIFS(원장!$H:$H,원장!$A:$A,증감분석!$B12,원장!$D:$D,증감분석!E$9,원장!$E:$E,증감분석!E$10)</f>
        <v/>
      </c>
      <c r="F12" s="123">
        <f>SUMIFS(원장!$H:$H,원장!$A:$A,증감분석!$B12,원장!$D:$D,증감분석!F$9,원장!$E:$E,증감분석!F$10)</f>
        <v/>
      </c>
      <c r="G12" s="123">
        <f>SUM(D12:F12)</f>
        <v/>
      </c>
      <c r="H12" s="123">
        <f>SUMIFS(원장!$H:$H,원장!$A:$A,증감분석!$B12,원장!$D:$D,증감분석!H$9,원장!$E:$E,증감분석!H$10)</f>
        <v/>
      </c>
      <c r="I12" s="123">
        <f>SUMIFS(원장!$H:$H,원장!$A:$A,증감분석!$B12,원장!$D:$D,증감분석!I$9,원장!$E:$E,증감분석!I$10)</f>
        <v/>
      </c>
      <c r="J12" s="123">
        <f>SUMIFS(원장!$H:$H,원장!$A:$A,증감분석!$B12,원장!$D:$D,증감분석!J$9,원장!$E:$E,증감분석!J$10)</f>
        <v/>
      </c>
      <c r="K12" s="123">
        <f>SUMIFS(원장!$H:$H,원장!$A:$A,증감분석!$B12,원장!$D:$D,증감분석!K$9,원장!$E:$E,증감분석!K$10)</f>
        <v/>
      </c>
      <c r="L12" s="123">
        <f>SUM(H12:K12)</f>
        <v/>
      </c>
      <c r="M12" s="123">
        <f>G12+L12</f>
        <v/>
      </c>
      <c r="N12" s="123">
        <f>SUM($M$11:M12)</f>
        <v/>
      </c>
      <c r="P12" s="55">
        <f>B12</f>
        <v/>
      </c>
      <c r="Q12" s="123">
        <f>G12</f>
        <v/>
      </c>
      <c r="R12" s="127">
        <f>-L12</f>
        <v/>
      </c>
      <c r="S12" s="123">
        <f>N12</f>
        <v/>
      </c>
    </row>
    <row r="13" ht="16.5" customHeight="1" s="97">
      <c r="B13" s="55" t="inlineStr">
        <is>
          <t>24년 8월</t>
        </is>
      </c>
      <c r="C13" s="3">
        <f>IF($B13=참고!$D$5,1,C14+1)</f>
        <v/>
      </c>
      <c r="D13" s="123">
        <f>SUMIFS(원장!$H:$H,원장!$A:$A,증감분석!$B13,원장!$D:$D,증감분석!D$9,원장!$E:$E,증감분석!D$10)</f>
        <v/>
      </c>
      <c r="E13" s="123">
        <f>SUMIFS(원장!$H:$H,원장!$A:$A,증감분석!$B13,원장!$D:$D,증감분석!E$9,원장!$E:$E,증감분석!E$10)</f>
        <v/>
      </c>
      <c r="F13" s="123">
        <f>SUMIFS(원장!$H:$H,원장!$A:$A,증감분석!$B13,원장!$D:$D,증감분석!F$9,원장!$E:$E,증감분석!F$10)</f>
        <v/>
      </c>
      <c r="G13" s="123">
        <f>SUM(D13:F13)</f>
        <v/>
      </c>
      <c r="H13" s="123">
        <f>SUMIFS(원장!$H:$H,원장!$A:$A,증감분석!$B13,원장!$D:$D,증감분석!H$9,원장!$E:$E,증감분석!H$10)</f>
        <v/>
      </c>
      <c r="I13" s="123">
        <f>SUMIFS(원장!$H:$H,원장!$A:$A,증감분석!$B13,원장!$D:$D,증감분석!I$9,원장!$E:$E,증감분석!I$10)</f>
        <v/>
      </c>
      <c r="J13" s="123">
        <f>SUMIFS(원장!$H:$H,원장!$A:$A,증감분석!$B13,원장!$D:$D,증감분석!J$9,원장!$E:$E,증감분석!J$10)</f>
        <v/>
      </c>
      <c r="K13" s="123">
        <f>SUMIFS(원장!$H:$H,원장!$A:$A,증감분석!$B13,원장!$D:$D,증감분석!K$9,원장!$E:$E,증감분석!K$10)</f>
        <v/>
      </c>
      <c r="L13" s="123">
        <f>SUM(H13:K13)</f>
        <v/>
      </c>
      <c r="M13" s="123">
        <f>G13+L13</f>
        <v/>
      </c>
      <c r="N13" s="123">
        <f>SUM($M$11:M13)</f>
        <v/>
      </c>
      <c r="P13" s="55">
        <f>B13</f>
        <v/>
      </c>
      <c r="Q13" s="123">
        <f>G13</f>
        <v/>
      </c>
      <c r="R13" s="127">
        <f>-L13</f>
        <v/>
      </c>
      <c r="S13" s="123">
        <f>N13</f>
        <v/>
      </c>
    </row>
    <row r="14" ht="16.5" customHeight="1" s="97">
      <c r="B14" s="55" t="inlineStr">
        <is>
          <t>24년 9월</t>
        </is>
      </c>
      <c r="C14" s="3">
        <f>IF($B14=참고!$D$5,1,C15+1)</f>
        <v/>
      </c>
      <c r="D14" s="123">
        <f>SUMIFS(원장!$H:$H,원장!$A:$A,증감분석!$B14,원장!$D:$D,증감분석!D$9,원장!$E:$E,증감분석!D$10)</f>
        <v/>
      </c>
      <c r="E14" s="123">
        <f>SUMIFS(원장!$H:$H,원장!$A:$A,증감분석!$B14,원장!$D:$D,증감분석!E$9,원장!$E:$E,증감분석!E$10)</f>
        <v/>
      </c>
      <c r="F14" s="123">
        <f>SUMIFS(원장!$H:$H,원장!$A:$A,증감분석!$B14,원장!$D:$D,증감분석!F$9,원장!$E:$E,증감분석!F$10)</f>
        <v/>
      </c>
      <c r="G14" s="123">
        <f>SUM(D14:F14)</f>
        <v/>
      </c>
      <c r="H14" s="123">
        <f>SUMIFS(원장!$H:$H,원장!$A:$A,증감분석!$B14,원장!$D:$D,증감분석!H$9,원장!$E:$E,증감분석!H$10)</f>
        <v/>
      </c>
      <c r="I14" s="123">
        <f>SUMIFS(원장!$H:$H,원장!$A:$A,증감분석!$B14,원장!$D:$D,증감분석!I$9,원장!$E:$E,증감분석!I$10)</f>
        <v/>
      </c>
      <c r="J14" s="123">
        <f>SUMIFS(원장!$H:$H,원장!$A:$A,증감분석!$B14,원장!$D:$D,증감분석!J$9,원장!$E:$E,증감분석!J$10)</f>
        <v/>
      </c>
      <c r="K14" s="123">
        <f>SUMIFS(원장!$H:$H,원장!$A:$A,증감분석!$B14,원장!$D:$D,증감분석!K$9,원장!$E:$E,증감분석!K$10)</f>
        <v/>
      </c>
      <c r="L14" s="123">
        <f>SUM(H14:K14)</f>
        <v/>
      </c>
      <c r="M14" s="123">
        <f>G14+L14</f>
        <v/>
      </c>
      <c r="N14" s="123">
        <f>SUM($M$11:M14)</f>
        <v/>
      </c>
      <c r="P14" s="55">
        <f>B14</f>
        <v/>
      </c>
      <c r="Q14" s="123">
        <f>G14</f>
        <v/>
      </c>
      <c r="R14" s="127">
        <f>-L14</f>
        <v/>
      </c>
      <c r="S14" s="123">
        <f>N14</f>
        <v/>
      </c>
    </row>
    <row r="15" ht="16.5" customHeight="1" s="97">
      <c r="B15" s="55" t="inlineStr">
        <is>
          <t>24년 10월</t>
        </is>
      </c>
      <c r="C15" s="3">
        <f>IF($B15=참고!$D$5,1,C16+1)</f>
        <v/>
      </c>
      <c r="D15" s="123">
        <f>SUMIFS(원장!$H:$H,원장!$A:$A,증감분석!$B15,원장!$D:$D,증감분석!D$9,원장!$E:$E,증감분석!D$10)</f>
        <v/>
      </c>
      <c r="E15" s="123">
        <f>SUMIFS(원장!$H:$H,원장!$A:$A,증감분석!$B15,원장!$D:$D,증감분석!E$9,원장!$E:$E,증감분석!E$10)</f>
        <v/>
      </c>
      <c r="F15" s="123">
        <f>SUMIFS(원장!$H:$H,원장!$A:$A,증감분석!$B15,원장!$D:$D,증감분석!F$9,원장!$E:$E,증감분석!F$10)</f>
        <v/>
      </c>
      <c r="G15" s="123">
        <f>SUM(D15:F15)</f>
        <v/>
      </c>
      <c r="H15" s="123">
        <f>SUMIFS(원장!$H:$H,원장!$A:$A,증감분석!$B15,원장!$D:$D,증감분석!H$9,원장!$E:$E,증감분석!H$10)</f>
        <v/>
      </c>
      <c r="I15" s="123">
        <f>SUMIFS(원장!$H:$H,원장!$A:$A,증감분석!$B15,원장!$D:$D,증감분석!I$9,원장!$E:$E,증감분석!I$10)</f>
        <v/>
      </c>
      <c r="J15" s="123">
        <f>SUMIFS(원장!$H:$H,원장!$A:$A,증감분석!$B15,원장!$D:$D,증감분석!J$9,원장!$E:$E,증감분석!J$10)</f>
        <v/>
      </c>
      <c r="K15" s="123">
        <f>SUMIFS(원장!$H:$H,원장!$A:$A,증감분석!$B15,원장!$D:$D,증감분석!K$9,원장!$E:$E,증감분석!K$10)</f>
        <v/>
      </c>
      <c r="L15" s="123">
        <f>SUM(H15:K15)</f>
        <v/>
      </c>
      <c r="M15" s="123">
        <f>G15+L15</f>
        <v/>
      </c>
      <c r="N15" s="123">
        <f>SUM($M$11:M15)</f>
        <v/>
      </c>
      <c r="P15" s="55">
        <f>B15</f>
        <v/>
      </c>
      <c r="Q15" s="123">
        <f>G15</f>
        <v/>
      </c>
      <c r="R15" s="127">
        <f>-L15</f>
        <v/>
      </c>
      <c r="S15" s="123">
        <f>N15</f>
        <v/>
      </c>
    </row>
    <row r="16" ht="16.5" customHeight="1" s="97">
      <c r="B16" s="55" t="inlineStr">
        <is>
          <t>24년 11월</t>
        </is>
      </c>
      <c r="C16" s="3">
        <f>IF($B16=참고!$D$5,1,C17+1)</f>
        <v/>
      </c>
      <c r="D16" s="123">
        <f>SUMIFS(원장!$H:$H,원장!$A:$A,증감분석!$B16,원장!$D:$D,증감분석!D$9,원장!$E:$E,증감분석!D$10)</f>
        <v/>
      </c>
      <c r="E16" s="123">
        <f>SUMIFS(원장!$H:$H,원장!$A:$A,증감분석!$B16,원장!$D:$D,증감분석!E$9,원장!$E:$E,증감분석!E$10)</f>
        <v/>
      </c>
      <c r="F16" s="123">
        <f>SUMIFS(원장!$H:$H,원장!$A:$A,증감분석!$B16,원장!$D:$D,증감분석!F$9,원장!$E:$E,증감분석!F$10)</f>
        <v/>
      </c>
      <c r="G16" s="123">
        <f>SUM(D16:F16)</f>
        <v/>
      </c>
      <c r="H16" s="123">
        <f>SUMIFS(원장!$H:$H,원장!$A:$A,증감분석!$B16,원장!$D:$D,증감분석!H$9,원장!$E:$E,증감분석!H$10)</f>
        <v/>
      </c>
      <c r="I16" s="123">
        <f>SUMIFS(원장!$H:$H,원장!$A:$A,증감분석!$B16,원장!$D:$D,증감분석!I$9,원장!$E:$E,증감분석!I$10)</f>
        <v/>
      </c>
      <c r="J16" s="123">
        <f>SUMIFS(원장!$H:$H,원장!$A:$A,증감분석!$B16,원장!$D:$D,증감분석!J$9,원장!$E:$E,증감분석!J$10)</f>
        <v/>
      </c>
      <c r="K16" s="123">
        <f>SUMIFS(원장!$H:$H,원장!$A:$A,증감분석!$B16,원장!$D:$D,증감분석!K$9,원장!$E:$E,증감분석!K$10)</f>
        <v/>
      </c>
      <c r="L16" s="123">
        <f>SUM(H16:K16)</f>
        <v/>
      </c>
      <c r="M16" s="123">
        <f>G16+L16</f>
        <v/>
      </c>
      <c r="N16" s="123">
        <f>SUM($M$11:M16)</f>
        <v/>
      </c>
      <c r="P16" s="55">
        <f>B16</f>
        <v/>
      </c>
      <c r="Q16" s="123">
        <f>G16</f>
        <v/>
      </c>
      <c r="R16" s="127">
        <f>-L16</f>
        <v/>
      </c>
      <c r="S16" s="123">
        <f>N16</f>
        <v/>
      </c>
    </row>
    <row r="17" ht="16.5" customHeight="1" s="97">
      <c r="B17" s="55" t="inlineStr">
        <is>
          <t>24년 12월</t>
        </is>
      </c>
      <c r="C17" s="3">
        <f>IF($B17=참고!$D$5,1,C18+1)</f>
        <v/>
      </c>
      <c r="D17" s="123">
        <f>SUMIFS(원장!$H:$H,원장!$A:$A,증감분석!$B17,원장!$D:$D,증감분석!D$9,원장!$E:$E,증감분석!D$10)</f>
        <v/>
      </c>
      <c r="E17" s="123">
        <f>SUMIFS(원장!$H:$H,원장!$A:$A,증감분석!$B17,원장!$D:$D,증감분석!E$9,원장!$E:$E,증감분석!E$10)</f>
        <v/>
      </c>
      <c r="F17" s="123">
        <f>SUMIFS(원장!$H:$H,원장!$A:$A,증감분석!$B17,원장!$D:$D,증감분석!F$9,원장!$E:$E,증감분석!F$10)</f>
        <v/>
      </c>
      <c r="G17" s="123">
        <f>SUM(D17:F17)</f>
        <v/>
      </c>
      <c r="H17" s="123">
        <f>SUMIFS(원장!$H:$H,원장!$A:$A,증감분석!$B17,원장!$D:$D,증감분석!H$9,원장!$E:$E,증감분석!H$10)</f>
        <v/>
      </c>
      <c r="I17" s="123">
        <f>SUMIFS(원장!$H:$H,원장!$A:$A,증감분석!$B17,원장!$D:$D,증감분석!I$9,원장!$E:$E,증감분석!I$10)</f>
        <v/>
      </c>
      <c r="J17" s="123">
        <f>SUMIFS(원장!$H:$H,원장!$A:$A,증감분석!$B17,원장!$D:$D,증감분석!J$9,원장!$E:$E,증감분석!J$10)</f>
        <v/>
      </c>
      <c r="K17" s="123">
        <f>SUMIFS(원장!$H:$H,원장!$A:$A,증감분석!$B17,원장!$D:$D,증감분석!K$9,원장!$E:$E,증감분석!K$10)</f>
        <v/>
      </c>
      <c r="L17" s="123">
        <f>SUM(H17:K17)</f>
        <v/>
      </c>
      <c r="M17" s="123">
        <f>G17+L17</f>
        <v/>
      </c>
      <c r="N17" s="123">
        <f>SUM($M$11:M17)</f>
        <v/>
      </c>
      <c r="P17" s="55">
        <f>B17</f>
        <v/>
      </c>
      <c r="Q17" s="123">
        <f>G17</f>
        <v/>
      </c>
      <c r="R17" s="127">
        <f>-L17</f>
        <v/>
      </c>
      <c r="S17" s="123">
        <f>N17</f>
        <v/>
      </c>
    </row>
    <row r="18" ht="16.5" customHeight="1" s="97">
      <c r="B18" s="55" t="inlineStr">
        <is>
          <t>25년 1월</t>
        </is>
      </c>
      <c r="C18" s="3">
        <f>IF($B18=참고!$D$5,1,C19+1)</f>
        <v/>
      </c>
      <c r="D18" s="123">
        <f>SUMIFS(원장!$H:$H,원장!$A:$A,증감분석!$B18,원장!$D:$D,증감분석!D$9,원장!$E:$E,증감분석!D$10)</f>
        <v/>
      </c>
      <c r="E18" s="123">
        <f>SUMIFS(원장!$H:$H,원장!$A:$A,증감분석!$B18,원장!$D:$D,증감분석!E$9,원장!$E:$E,증감분석!E$10)</f>
        <v/>
      </c>
      <c r="F18" s="123">
        <f>SUMIFS(원장!$H:$H,원장!$A:$A,증감분석!$B18,원장!$D:$D,증감분석!F$9,원장!$E:$E,증감분석!F$10)</f>
        <v/>
      </c>
      <c r="G18" s="123">
        <f>SUM(D18:F18)</f>
        <v/>
      </c>
      <c r="H18" s="123">
        <f>SUMIFS(원장!$H:$H,원장!$A:$A,증감분석!$B18,원장!$D:$D,증감분석!H$9,원장!$E:$E,증감분석!H$10)</f>
        <v/>
      </c>
      <c r="I18" s="123">
        <f>SUMIFS(원장!$H:$H,원장!$A:$A,증감분석!$B18,원장!$D:$D,증감분석!I$9,원장!$E:$E,증감분석!I$10)</f>
        <v/>
      </c>
      <c r="J18" s="123">
        <f>SUMIFS(원장!$H:$H,원장!$A:$A,증감분석!$B18,원장!$D:$D,증감분석!J$9,원장!$E:$E,증감분석!J$10)</f>
        <v/>
      </c>
      <c r="K18" s="123">
        <f>SUMIFS(원장!$H:$H,원장!$A:$A,증감분석!$B18,원장!$D:$D,증감분석!K$9,원장!$E:$E,증감분석!K$10)</f>
        <v/>
      </c>
      <c r="L18" s="123">
        <f>SUM(H18:K18)</f>
        <v/>
      </c>
      <c r="M18" s="123">
        <f>G18+L18</f>
        <v/>
      </c>
      <c r="N18" s="123">
        <f>SUM($M$11:M18)</f>
        <v/>
      </c>
      <c r="P18" s="55">
        <f>B18</f>
        <v/>
      </c>
      <c r="Q18" s="123">
        <f>G18</f>
        <v/>
      </c>
      <c r="R18" s="127">
        <f>-L18</f>
        <v/>
      </c>
      <c r="S18" s="123">
        <f>N18</f>
        <v/>
      </c>
    </row>
    <row r="19" ht="16.5" customHeight="1" s="97">
      <c r="B19" s="55" t="inlineStr">
        <is>
          <t>25년 2월</t>
        </is>
      </c>
      <c r="C19" s="3">
        <f>IF($B19=참고!$D$5,1,C20+1)</f>
        <v/>
      </c>
      <c r="D19" s="123">
        <f>SUMIFS(원장!$H:$H,원장!$A:$A,증감분석!$B19,원장!$D:$D,증감분석!D$9,원장!$E:$E,증감분석!D$10)</f>
        <v/>
      </c>
      <c r="E19" s="123">
        <f>SUMIFS(원장!$H:$H,원장!$A:$A,증감분석!$B19,원장!$D:$D,증감분석!E$9,원장!$E:$E,증감분석!E$10)</f>
        <v/>
      </c>
      <c r="F19" s="123">
        <f>SUMIFS(원장!$H:$H,원장!$A:$A,증감분석!$B19,원장!$D:$D,증감분석!F$9,원장!$E:$E,증감분석!F$10)</f>
        <v/>
      </c>
      <c r="G19" s="123">
        <f>SUM(D19:F19)</f>
        <v/>
      </c>
      <c r="H19" s="123">
        <f>SUMIFS(원장!$H:$H,원장!$A:$A,증감분석!$B19,원장!$D:$D,증감분석!H$9,원장!$E:$E,증감분석!H$10)</f>
        <v/>
      </c>
      <c r="I19" s="123">
        <f>SUMIFS(원장!$H:$H,원장!$A:$A,증감분석!$B19,원장!$D:$D,증감분석!I$9,원장!$E:$E,증감분석!I$10)</f>
        <v/>
      </c>
      <c r="J19" s="123">
        <f>SUMIFS(원장!$H:$H,원장!$A:$A,증감분석!$B19,원장!$D:$D,증감분석!J$9,원장!$E:$E,증감분석!J$10)</f>
        <v/>
      </c>
      <c r="K19" s="123">
        <f>SUMIFS(원장!$H:$H,원장!$A:$A,증감분석!$B19,원장!$D:$D,증감분석!K$9,원장!$E:$E,증감분석!K$10)</f>
        <v/>
      </c>
      <c r="L19" s="123">
        <f>SUM(H19:K19)</f>
        <v/>
      </c>
      <c r="M19" s="123">
        <f>G19+L19</f>
        <v/>
      </c>
      <c r="N19" s="123">
        <f>SUM($M$11:M19)</f>
        <v/>
      </c>
      <c r="P19" s="55">
        <f>B19</f>
        <v/>
      </c>
      <c r="Q19" s="123">
        <f>G19</f>
        <v/>
      </c>
      <c r="R19" s="127">
        <f>-L19</f>
        <v/>
      </c>
      <c r="S19" s="123">
        <f>N19</f>
        <v/>
      </c>
    </row>
    <row r="20" ht="16.5" customHeight="1" s="97">
      <c r="B20" s="55" t="inlineStr">
        <is>
          <t>25년 3월</t>
        </is>
      </c>
      <c r="C20" s="3">
        <f>IF($B20=참고!$D$5,1,C21+1)</f>
        <v/>
      </c>
      <c r="D20" s="123">
        <f>SUMIFS(원장!$H:$H,원장!$A:$A,증감분석!$B20,원장!$D:$D,증감분석!D$9,원장!$E:$E,증감분석!D$10)</f>
        <v/>
      </c>
      <c r="E20" s="123">
        <f>SUMIFS(원장!$H:$H,원장!$A:$A,증감분석!$B20,원장!$D:$D,증감분석!E$9,원장!$E:$E,증감분석!E$10)</f>
        <v/>
      </c>
      <c r="F20" s="123">
        <f>SUMIFS(원장!$H:$H,원장!$A:$A,증감분석!$B20,원장!$D:$D,증감분석!F$9,원장!$E:$E,증감분석!F$10)</f>
        <v/>
      </c>
      <c r="G20" s="123">
        <f>SUM(D20:F20)</f>
        <v/>
      </c>
      <c r="H20" s="123">
        <f>SUMIFS(원장!$H:$H,원장!$A:$A,증감분석!$B20,원장!$D:$D,증감분석!H$9,원장!$E:$E,증감분석!H$10)</f>
        <v/>
      </c>
      <c r="I20" s="123">
        <f>SUMIFS(원장!$H:$H,원장!$A:$A,증감분석!$B20,원장!$D:$D,증감분석!I$9,원장!$E:$E,증감분석!I$10)</f>
        <v/>
      </c>
      <c r="J20" s="123">
        <f>SUMIFS(원장!$H:$H,원장!$A:$A,증감분석!$B20,원장!$D:$D,증감분석!J$9,원장!$E:$E,증감분석!J$10)</f>
        <v/>
      </c>
      <c r="K20" s="123">
        <f>SUMIFS(원장!$H:$H,원장!$A:$A,증감분석!$B20,원장!$D:$D,증감분석!K$9,원장!$E:$E,증감분석!K$10)</f>
        <v/>
      </c>
      <c r="L20" s="123">
        <f>SUM(H20:K20)</f>
        <v/>
      </c>
      <c r="M20" s="123">
        <f>G20+L20</f>
        <v/>
      </c>
      <c r="N20" s="123">
        <f>SUM($M$11:M20)</f>
        <v/>
      </c>
      <c r="P20" s="55">
        <f>B20</f>
        <v/>
      </c>
      <c r="Q20" s="123">
        <f>G20</f>
        <v/>
      </c>
      <c r="R20" s="127">
        <f>-L20</f>
        <v/>
      </c>
      <c r="S20" s="123">
        <f>N20</f>
        <v/>
      </c>
    </row>
    <row r="21" ht="16.5" customHeight="1" s="97">
      <c r="B21" s="55" t="inlineStr">
        <is>
          <t>25년 4월</t>
        </is>
      </c>
      <c r="C21" s="3">
        <f>IF($B21=참고!$D$5,1,C22+1)</f>
        <v/>
      </c>
      <c r="D21" s="123">
        <f>SUMIFS(원장!$H:$H,원장!$A:$A,증감분석!$B21,원장!$D:$D,증감분석!D$9,원장!$E:$E,증감분석!D$10)</f>
        <v/>
      </c>
      <c r="E21" s="123">
        <f>SUMIFS(원장!$H:$H,원장!$A:$A,증감분석!$B21,원장!$D:$D,증감분석!E$9,원장!$E:$E,증감분석!E$10)</f>
        <v/>
      </c>
      <c r="F21" s="123">
        <f>SUMIFS(원장!$H:$H,원장!$A:$A,증감분석!$B21,원장!$D:$D,증감분석!F$9,원장!$E:$E,증감분석!F$10)</f>
        <v/>
      </c>
      <c r="G21" s="123">
        <f>SUM(D21:F21)</f>
        <v/>
      </c>
      <c r="H21" s="123">
        <f>SUMIFS(원장!$H:$H,원장!$A:$A,증감분석!$B21,원장!$D:$D,증감분석!H$9,원장!$E:$E,증감분석!H$10)</f>
        <v/>
      </c>
      <c r="I21" s="123">
        <f>SUMIFS(원장!$H:$H,원장!$A:$A,증감분석!$B21,원장!$D:$D,증감분석!I$9,원장!$E:$E,증감분석!I$10)</f>
        <v/>
      </c>
      <c r="J21" s="123">
        <f>SUMIFS(원장!$H:$H,원장!$A:$A,증감분석!$B21,원장!$D:$D,증감분석!J$9,원장!$E:$E,증감분석!J$10)</f>
        <v/>
      </c>
      <c r="K21" s="123">
        <f>SUMIFS(원장!$H:$H,원장!$A:$A,증감분석!$B21,원장!$D:$D,증감분석!K$9,원장!$E:$E,증감분석!K$10)</f>
        <v/>
      </c>
      <c r="L21" s="123">
        <f>SUM(H21:K21)</f>
        <v/>
      </c>
      <c r="M21" s="123">
        <f>G21+L21</f>
        <v/>
      </c>
      <c r="N21" s="123">
        <f>SUM($M$11:M21)</f>
        <v/>
      </c>
      <c r="P21" s="55">
        <f>B21</f>
        <v/>
      </c>
      <c r="Q21" s="123">
        <f>G21</f>
        <v/>
      </c>
      <c r="R21" s="127">
        <f>-L21</f>
        <v/>
      </c>
      <c r="S21" s="123">
        <f>N21</f>
        <v/>
      </c>
    </row>
    <row r="22" ht="16.5" customHeight="1" s="97">
      <c r="B22" s="55" t="inlineStr">
        <is>
          <t>25년 5월</t>
        </is>
      </c>
      <c r="C22" s="3">
        <f>IF($B22=참고!$D$5,1,C23+1)</f>
        <v/>
      </c>
      <c r="D22" s="123">
        <f>SUMIFS(원장!$H:$H,원장!$A:$A,증감분석!$B22,원장!$D:$D,증감분석!D$9,원장!$E:$E,증감분석!D$10)</f>
        <v/>
      </c>
      <c r="E22" s="123">
        <f>SUMIFS(원장!$H:$H,원장!$A:$A,증감분석!$B22,원장!$D:$D,증감분석!E$9,원장!$E:$E,증감분석!E$10)</f>
        <v/>
      </c>
      <c r="F22" s="123">
        <f>SUMIFS(원장!$H:$H,원장!$A:$A,증감분석!$B22,원장!$D:$D,증감분석!F$9,원장!$E:$E,증감분석!F$10)</f>
        <v/>
      </c>
      <c r="G22" s="123">
        <f>SUM(D22:F22)</f>
        <v/>
      </c>
      <c r="H22" s="123">
        <f>SUMIFS(원장!$H:$H,원장!$A:$A,증감분석!$B22,원장!$D:$D,증감분석!H$9,원장!$E:$E,증감분석!H$10)</f>
        <v/>
      </c>
      <c r="I22" s="123">
        <f>SUMIFS(원장!$H:$H,원장!$A:$A,증감분석!$B22,원장!$D:$D,증감분석!I$9,원장!$E:$E,증감분석!I$10)</f>
        <v/>
      </c>
      <c r="J22" s="123">
        <f>SUMIFS(원장!$H:$H,원장!$A:$A,증감분석!$B22,원장!$D:$D,증감분석!J$9,원장!$E:$E,증감분석!J$10)</f>
        <v/>
      </c>
      <c r="K22" s="123">
        <f>SUMIFS(원장!$H:$H,원장!$A:$A,증감분석!$B22,원장!$D:$D,증감분석!K$9,원장!$E:$E,증감분석!K$10)</f>
        <v/>
      </c>
      <c r="L22" s="123">
        <f>SUM(H22:K22)</f>
        <v/>
      </c>
      <c r="M22" s="123">
        <f>G22+L22</f>
        <v/>
      </c>
      <c r="N22" s="123">
        <f>SUM($M$11:M22)</f>
        <v/>
      </c>
      <c r="P22" s="55">
        <f>B22</f>
        <v/>
      </c>
      <c r="Q22" s="123">
        <f>G22</f>
        <v/>
      </c>
      <c r="R22" s="127">
        <f>-L22</f>
        <v/>
      </c>
      <c r="S22" s="123">
        <f>N22</f>
        <v/>
      </c>
    </row>
    <row r="23" ht="16.5" customHeight="1" s="97">
      <c r="B23" s="55" t="inlineStr">
        <is>
          <t>25년 6월</t>
        </is>
      </c>
      <c r="C23" s="3">
        <f>IF($B23=참고!$D$5,1,C24+1)</f>
        <v/>
      </c>
      <c r="D23" s="123">
        <f>SUMIFS(원장!$H:$H,원장!$A:$A,증감분석!$B23,원장!$D:$D,증감분석!D$9,원장!$E:$E,증감분석!D$10)</f>
        <v/>
      </c>
      <c r="E23" s="123">
        <f>SUMIFS(원장!$H:$H,원장!$A:$A,증감분석!$B23,원장!$D:$D,증감분석!E$9,원장!$E:$E,증감분석!E$10)</f>
        <v/>
      </c>
      <c r="F23" s="123">
        <f>SUMIFS(원장!$H:$H,원장!$A:$A,증감분석!$B23,원장!$D:$D,증감분석!F$9,원장!$E:$E,증감분석!F$10)</f>
        <v/>
      </c>
      <c r="G23" s="123">
        <f>SUM(D23:F23)</f>
        <v/>
      </c>
      <c r="H23" s="123">
        <f>SUMIFS(원장!$H:$H,원장!$A:$A,증감분석!$B23,원장!$D:$D,증감분석!H$9,원장!$E:$E,증감분석!H$10)</f>
        <v/>
      </c>
      <c r="I23" s="123">
        <f>SUMIFS(원장!$H:$H,원장!$A:$A,증감분석!$B23,원장!$D:$D,증감분석!I$9,원장!$E:$E,증감분석!I$10)</f>
        <v/>
      </c>
      <c r="J23" s="123">
        <f>SUMIFS(원장!$H:$H,원장!$A:$A,증감분석!$B23,원장!$D:$D,증감분석!J$9,원장!$E:$E,증감분석!J$10)</f>
        <v/>
      </c>
      <c r="K23" s="123">
        <f>SUMIFS(원장!$H:$H,원장!$A:$A,증감분석!$B23,원장!$D:$D,증감분석!K$9,원장!$E:$E,증감분석!K$10)</f>
        <v/>
      </c>
      <c r="L23" s="123">
        <f>SUM(H23:K23)</f>
        <v/>
      </c>
      <c r="M23" s="123">
        <f>G23+L23</f>
        <v/>
      </c>
      <c r="N23" s="123">
        <f>SUM($M$11:M23)</f>
        <v/>
      </c>
      <c r="P23" s="55">
        <f>B23</f>
        <v/>
      </c>
      <c r="Q23" s="123">
        <f>G23</f>
        <v/>
      </c>
      <c r="R23" s="127">
        <f>-L23</f>
        <v/>
      </c>
      <c r="S23" s="123">
        <f>N23</f>
        <v/>
      </c>
    </row>
    <row r="24" ht="16.5" customHeight="1" s="97">
      <c r="B24" s="55" t="inlineStr">
        <is>
          <t>25년 7월</t>
        </is>
      </c>
      <c r="C24" s="3">
        <f>IF($B24=참고!$D$5,1,C25+1)</f>
        <v/>
      </c>
      <c r="D24" s="123">
        <f>SUMIFS(원장!$H:$H,원장!$A:$A,증감분석!$B24,원장!$D:$D,증감분석!D$9,원장!$E:$E,증감분석!D$10)</f>
        <v/>
      </c>
      <c r="E24" s="123">
        <f>SUMIFS(원장!$H:$H,원장!$A:$A,증감분석!$B24,원장!$D:$D,증감분석!E$9,원장!$E:$E,증감분석!E$10)</f>
        <v/>
      </c>
      <c r="F24" s="123">
        <f>SUMIFS(원장!$H:$H,원장!$A:$A,증감분석!$B24,원장!$D:$D,증감분석!F$9,원장!$E:$E,증감분석!F$10)</f>
        <v/>
      </c>
      <c r="G24" s="123">
        <f>SUM(D24:F24)</f>
        <v/>
      </c>
      <c r="H24" s="123">
        <f>SUMIFS(원장!$H:$H,원장!$A:$A,증감분석!$B24,원장!$D:$D,증감분석!H$9,원장!$E:$E,증감분석!H$10)</f>
        <v/>
      </c>
      <c r="I24" s="123">
        <f>SUMIFS(원장!$H:$H,원장!$A:$A,증감분석!$B24,원장!$D:$D,증감분석!I$9,원장!$E:$E,증감분석!I$10)</f>
        <v/>
      </c>
      <c r="J24" s="123">
        <f>SUMIFS(원장!$H:$H,원장!$A:$A,증감분석!$B24,원장!$D:$D,증감분석!J$9,원장!$E:$E,증감분석!J$10)</f>
        <v/>
      </c>
      <c r="K24" s="123">
        <f>SUMIFS(원장!$H:$H,원장!$A:$A,증감분석!$B24,원장!$D:$D,증감분석!K$9,원장!$E:$E,증감분석!K$10)</f>
        <v/>
      </c>
      <c r="L24" s="123">
        <f>SUM(H24:K24)</f>
        <v/>
      </c>
      <c r="M24" s="123">
        <f>G24+L24</f>
        <v/>
      </c>
      <c r="N24" s="123">
        <f>SUM($M$11:M24)</f>
        <v/>
      </c>
      <c r="P24" s="55">
        <f>B24</f>
        <v/>
      </c>
      <c r="Q24" s="123">
        <f>G24</f>
        <v/>
      </c>
      <c r="R24" s="127">
        <f>-L24</f>
        <v/>
      </c>
      <c r="S24" s="123">
        <f>N24</f>
        <v/>
      </c>
    </row>
    <row r="25" ht="16.5" customHeight="1" s="97">
      <c r="B25" s="55" t="inlineStr">
        <is>
          <t>25년 8월</t>
        </is>
      </c>
      <c r="C25" s="3">
        <f>IF($B25=참고!$D$5,1,C26+1)</f>
        <v/>
      </c>
      <c r="D25" s="123">
        <f>SUMIFS(원장!$H:$H,원장!$A:$A,증감분석!$B25,원장!$D:$D,증감분석!D$9,원장!$E:$E,증감분석!D$10)</f>
        <v/>
      </c>
      <c r="E25" s="123">
        <f>SUMIFS(원장!$H:$H,원장!$A:$A,증감분석!$B25,원장!$D:$D,증감분석!E$9,원장!$E:$E,증감분석!E$10)</f>
        <v/>
      </c>
      <c r="F25" s="123">
        <f>SUMIFS(원장!$H:$H,원장!$A:$A,증감분석!$B25,원장!$D:$D,증감분석!F$9,원장!$E:$E,증감분석!F$10)</f>
        <v/>
      </c>
      <c r="G25" s="123">
        <f>SUM(D25:F25)</f>
        <v/>
      </c>
      <c r="H25" s="123">
        <f>SUMIFS(원장!$H:$H,원장!$A:$A,증감분석!$B25,원장!$D:$D,증감분석!H$9,원장!$E:$E,증감분석!H$10)</f>
        <v/>
      </c>
      <c r="I25" s="123">
        <f>SUMIFS(원장!$H:$H,원장!$A:$A,증감분석!$B25,원장!$D:$D,증감분석!I$9,원장!$E:$E,증감분석!I$10)</f>
        <v/>
      </c>
      <c r="J25" s="123">
        <f>SUMIFS(원장!$H:$H,원장!$A:$A,증감분석!$B25,원장!$D:$D,증감분석!J$9,원장!$E:$E,증감분석!J$10)</f>
        <v/>
      </c>
      <c r="K25" s="123">
        <f>SUMIFS(원장!$H:$H,원장!$A:$A,증감분석!$B25,원장!$D:$D,증감분석!K$9,원장!$E:$E,증감분석!K$10)</f>
        <v/>
      </c>
      <c r="L25" s="123">
        <f>SUM(H25:K25)</f>
        <v/>
      </c>
      <c r="M25" s="123">
        <f>G25+L25</f>
        <v/>
      </c>
      <c r="N25" s="123">
        <f>SUM($M$11:M25)</f>
        <v/>
      </c>
      <c r="P25" s="55">
        <f>B25</f>
        <v/>
      </c>
      <c r="Q25" s="123">
        <f>G25</f>
        <v/>
      </c>
      <c r="R25" s="127">
        <f>-L25</f>
        <v/>
      </c>
      <c r="S25" s="123">
        <f>N25</f>
        <v/>
      </c>
    </row>
    <row r="26" ht="16.5" customHeight="1" s="97">
      <c r="B26" s="55" t="inlineStr">
        <is>
          <t>25년 9월</t>
        </is>
      </c>
      <c r="C26" s="3">
        <f>IF($B26=참고!$D$5,1,C27+1)</f>
        <v/>
      </c>
      <c r="D26" s="123">
        <f>SUMIFS(원장!$H:$H,원장!$A:$A,증감분석!$B26,원장!$D:$D,증감분석!D$9,원장!$E:$E,증감분석!D$10)</f>
        <v/>
      </c>
      <c r="E26" s="123">
        <f>SUMIFS(원장!$H:$H,원장!$A:$A,증감분석!$B26,원장!$D:$D,증감분석!E$9,원장!$E:$E,증감분석!E$10)</f>
        <v/>
      </c>
      <c r="F26" s="123">
        <f>SUMIFS(원장!$H:$H,원장!$A:$A,증감분석!$B26,원장!$D:$D,증감분석!F$9,원장!$E:$E,증감분석!F$10)</f>
        <v/>
      </c>
      <c r="G26" s="123">
        <f>SUM(D26:F26)</f>
        <v/>
      </c>
      <c r="H26" s="123">
        <f>SUMIFS(원장!$H:$H,원장!$A:$A,증감분석!$B26,원장!$D:$D,증감분석!H$9,원장!$E:$E,증감분석!H$10)</f>
        <v/>
      </c>
      <c r="I26" s="123">
        <f>SUMIFS(원장!$H:$H,원장!$A:$A,증감분석!$B26,원장!$D:$D,증감분석!I$9,원장!$E:$E,증감분석!I$10)</f>
        <v/>
      </c>
      <c r="J26" s="123">
        <f>SUMIFS(원장!$H:$H,원장!$A:$A,증감분석!$B26,원장!$D:$D,증감분석!J$9,원장!$E:$E,증감분석!J$10)</f>
        <v/>
      </c>
      <c r="K26" s="123">
        <f>SUMIFS(원장!$H:$H,원장!$A:$A,증감분석!$B26,원장!$D:$D,증감분석!K$9,원장!$E:$E,증감분석!K$10)</f>
        <v/>
      </c>
      <c r="L26" s="123">
        <f>SUM(H26:K26)</f>
        <v/>
      </c>
      <c r="M26" s="123">
        <f>G26+L26</f>
        <v/>
      </c>
      <c r="N26" s="123">
        <f>SUM($M$11:M26)</f>
        <v/>
      </c>
      <c r="P26" s="55">
        <f>B26</f>
        <v/>
      </c>
      <c r="Q26" s="123">
        <f>G26</f>
        <v/>
      </c>
      <c r="R26" s="127">
        <f>-L26</f>
        <v/>
      </c>
      <c r="S26" s="123">
        <f>N26</f>
        <v/>
      </c>
    </row>
    <row r="27" ht="16.5" customHeight="1" s="97">
      <c r="B27" s="55" t="inlineStr">
        <is>
          <t>25년 10월</t>
        </is>
      </c>
      <c r="C27" s="3">
        <f>IF($B27=참고!$D$5,1,C28+1)</f>
        <v/>
      </c>
      <c r="D27" s="123">
        <f>SUMIFS(원장!$H:$H,원장!$A:$A,증감분석!$B27,원장!$D:$D,증감분석!D$9,원장!$E:$E,증감분석!D$10)</f>
        <v/>
      </c>
      <c r="E27" s="123">
        <f>SUMIFS(원장!$H:$H,원장!$A:$A,증감분석!$B27,원장!$D:$D,증감분석!E$9,원장!$E:$E,증감분석!E$10)</f>
        <v/>
      </c>
      <c r="F27" s="123">
        <f>SUMIFS(원장!$H:$H,원장!$A:$A,증감분석!$B27,원장!$D:$D,증감분석!F$9,원장!$E:$E,증감분석!F$10)</f>
        <v/>
      </c>
      <c r="G27" s="123">
        <f>SUM(D27:F27)</f>
        <v/>
      </c>
      <c r="H27" s="123">
        <f>SUMIFS(원장!$H:$H,원장!$A:$A,증감분석!$B27,원장!$D:$D,증감분석!H$9,원장!$E:$E,증감분석!H$10)</f>
        <v/>
      </c>
      <c r="I27" s="123">
        <f>SUMIFS(원장!$H:$H,원장!$A:$A,증감분석!$B27,원장!$D:$D,증감분석!I$9,원장!$E:$E,증감분석!I$10)</f>
        <v/>
      </c>
      <c r="J27" s="123">
        <f>SUMIFS(원장!$H:$H,원장!$A:$A,증감분석!$B27,원장!$D:$D,증감분석!J$9,원장!$E:$E,증감분석!J$10)</f>
        <v/>
      </c>
      <c r="K27" s="123">
        <f>SUMIFS(원장!$H:$H,원장!$A:$A,증감분석!$B27,원장!$D:$D,증감분석!K$9,원장!$E:$E,증감분석!K$10)</f>
        <v/>
      </c>
      <c r="L27" s="123">
        <f>SUM(H27:K27)</f>
        <v/>
      </c>
      <c r="M27" s="123">
        <f>G27+L27</f>
        <v/>
      </c>
      <c r="N27" s="123">
        <f>SUM($M$11:M27)</f>
        <v/>
      </c>
      <c r="P27" s="55">
        <f>B27</f>
        <v/>
      </c>
      <c r="Q27" s="123">
        <f>G27</f>
        <v/>
      </c>
      <c r="R27" s="127">
        <f>-L27</f>
        <v/>
      </c>
      <c r="S27" s="123">
        <f>N27</f>
        <v/>
      </c>
    </row>
    <row r="28" ht="16.5" customHeight="1" s="97">
      <c r="B28" s="55" t="inlineStr">
        <is>
          <t>25년 11월</t>
        </is>
      </c>
      <c r="C28" s="3">
        <f>IF($B28=참고!$D$5,1,C29+1)</f>
        <v/>
      </c>
      <c r="D28" s="123">
        <f>SUMIFS(원장!$H:$H,원장!$A:$A,증감분석!$B28,원장!$D:$D,증감분석!D$9,원장!$E:$E,증감분석!D$10)</f>
        <v/>
      </c>
      <c r="E28" s="123">
        <f>SUMIFS(원장!$H:$H,원장!$A:$A,증감분석!$B28,원장!$D:$D,증감분석!E$9,원장!$E:$E,증감분석!E$10)</f>
        <v/>
      </c>
      <c r="F28" s="123">
        <f>SUMIFS(원장!$H:$H,원장!$A:$A,증감분석!$B28,원장!$D:$D,증감분석!F$9,원장!$E:$E,증감분석!F$10)</f>
        <v/>
      </c>
      <c r="G28" s="123">
        <f>SUM(D28:F28)</f>
        <v/>
      </c>
      <c r="H28" s="123">
        <f>SUMIFS(원장!$H:$H,원장!$A:$A,증감분석!$B28,원장!$D:$D,증감분석!H$9,원장!$E:$E,증감분석!H$10)</f>
        <v/>
      </c>
      <c r="I28" s="123">
        <f>SUMIFS(원장!$H:$H,원장!$A:$A,증감분석!$B28,원장!$D:$D,증감분석!I$9,원장!$E:$E,증감분석!I$10)</f>
        <v/>
      </c>
      <c r="J28" s="123">
        <f>SUMIFS(원장!$H:$H,원장!$A:$A,증감분석!$B28,원장!$D:$D,증감분석!J$9,원장!$E:$E,증감분석!J$10)</f>
        <v/>
      </c>
      <c r="K28" s="123">
        <f>SUMIFS(원장!$H:$H,원장!$A:$A,증감분석!$B28,원장!$D:$D,증감분석!K$9,원장!$E:$E,증감분석!K$10)</f>
        <v/>
      </c>
      <c r="L28" s="123">
        <f>SUM(H28:K28)</f>
        <v/>
      </c>
      <c r="M28" s="123">
        <f>G28+L28</f>
        <v/>
      </c>
      <c r="N28" s="123">
        <f>SUM($M$11:M28)</f>
        <v/>
      </c>
      <c r="P28" s="55">
        <f>B28</f>
        <v/>
      </c>
      <c r="Q28" s="123">
        <f>G28</f>
        <v/>
      </c>
      <c r="R28" s="127">
        <f>-L28</f>
        <v/>
      </c>
      <c r="S28" s="123">
        <f>N28</f>
        <v/>
      </c>
    </row>
    <row r="29" ht="16.5" customHeight="1" s="97">
      <c r="B29" s="55" t="inlineStr">
        <is>
          <t>25년 12월</t>
        </is>
      </c>
      <c r="C29" s="3">
        <f>IF($B29=참고!$D$5,1,C30+1)</f>
        <v/>
      </c>
      <c r="D29" s="123">
        <f>SUMIFS(원장!$H:$H,원장!$A:$A,증감분석!$B29,원장!$D:$D,증감분석!D$9,원장!$E:$E,증감분석!D$10)</f>
        <v/>
      </c>
      <c r="E29" s="123">
        <f>SUMIFS(원장!$H:$H,원장!$A:$A,증감분석!$B29,원장!$D:$D,증감분석!E$9,원장!$E:$E,증감분석!E$10)</f>
        <v/>
      </c>
      <c r="F29" s="123">
        <f>SUMIFS(원장!$H:$H,원장!$A:$A,증감분석!$B29,원장!$D:$D,증감분석!F$9,원장!$E:$E,증감분석!F$10)</f>
        <v/>
      </c>
      <c r="G29" s="123">
        <f>SUM(D29:F29)</f>
        <v/>
      </c>
      <c r="H29" s="123">
        <f>SUMIFS(원장!$H:$H,원장!$A:$A,증감분석!$B29,원장!$D:$D,증감분석!H$9,원장!$E:$E,증감분석!H$10)</f>
        <v/>
      </c>
      <c r="I29" s="123">
        <f>SUMIFS(원장!$H:$H,원장!$A:$A,증감분석!$B29,원장!$D:$D,증감분석!I$9,원장!$E:$E,증감분석!I$10)</f>
        <v/>
      </c>
      <c r="J29" s="123">
        <f>SUMIFS(원장!$H:$H,원장!$A:$A,증감분석!$B29,원장!$D:$D,증감분석!J$9,원장!$E:$E,증감분석!J$10)</f>
        <v/>
      </c>
      <c r="K29" s="123">
        <f>SUMIFS(원장!$H:$H,원장!$A:$A,증감분석!$B29,원장!$D:$D,증감분석!K$9,원장!$E:$E,증감분석!K$10)</f>
        <v/>
      </c>
      <c r="L29" s="123">
        <f>SUM(H29:K29)</f>
        <v/>
      </c>
      <c r="M29" s="123">
        <f>G29+L29</f>
        <v/>
      </c>
      <c r="N29" s="123">
        <f>SUM($M$11:M29)</f>
        <v/>
      </c>
      <c r="P29" s="55">
        <f>B29</f>
        <v/>
      </c>
      <c r="Q29" s="123">
        <f>G29</f>
        <v/>
      </c>
      <c r="R29" s="127">
        <f>-L29</f>
        <v/>
      </c>
      <c r="S29" s="123">
        <f>N29</f>
        <v/>
      </c>
    </row>
    <row r="30" ht="16.5" customHeight="1" s="97">
      <c r="B30" s="55" t="inlineStr">
        <is>
          <t>26년 1월</t>
        </is>
      </c>
      <c r="C30" s="3">
        <f>IF($B30=참고!$D$5,1,C31+1)</f>
        <v/>
      </c>
      <c r="D30" s="123">
        <f>SUMIFS(원장!$H:$H,원장!$A:$A,증감분석!$B30,원장!$D:$D,증감분석!D$9,원장!$E:$E,증감분석!D$10)</f>
        <v/>
      </c>
      <c r="E30" s="123">
        <f>SUMIFS(원장!$H:$H,원장!$A:$A,증감분석!$B30,원장!$D:$D,증감분석!E$9,원장!$E:$E,증감분석!E$10)</f>
        <v/>
      </c>
      <c r="F30" s="123">
        <f>SUMIFS(원장!$H:$H,원장!$A:$A,증감분석!$B30,원장!$D:$D,증감분석!F$9,원장!$E:$E,증감분석!F$10)</f>
        <v/>
      </c>
      <c r="G30" s="123">
        <f>SUM(D30:F30)</f>
        <v/>
      </c>
      <c r="H30" s="123">
        <f>SUMIFS(원장!$H:$H,원장!$A:$A,증감분석!$B30,원장!$D:$D,증감분석!H$9,원장!$E:$E,증감분석!H$10)</f>
        <v/>
      </c>
      <c r="I30" s="123">
        <f>SUMIFS(원장!$H:$H,원장!$A:$A,증감분석!$B30,원장!$D:$D,증감분석!I$9,원장!$E:$E,증감분석!I$10)</f>
        <v/>
      </c>
      <c r="J30" s="123">
        <f>SUMIFS(원장!$H:$H,원장!$A:$A,증감분석!$B30,원장!$D:$D,증감분석!J$9,원장!$E:$E,증감분석!J$10)</f>
        <v/>
      </c>
      <c r="K30" s="123">
        <f>SUMIFS(원장!$H:$H,원장!$A:$A,증감분석!$B30,원장!$D:$D,증감분석!K$9,원장!$E:$E,증감분석!K$10)</f>
        <v/>
      </c>
      <c r="L30" s="123">
        <f>SUM(H30:K30)</f>
        <v/>
      </c>
      <c r="M30" s="123">
        <f>G30+L30</f>
        <v/>
      </c>
      <c r="N30" s="123">
        <f>SUM($M$11:M30)</f>
        <v/>
      </c>
      <c r="P30" s="55">
        <f>B30</f>
        <v/>
      </c>
      <c r="Q30" s="123">
        <f>G30</f>
        <v/>
      </c>
      <c r="R30" s="127">
        <f>-L30</f>
        <v/>
      </c>
      <c r="S30" s="123">
        <f>N30</f>
        <v/>
      </c>
    </row>
    <row r="31" ht="16.5" customHeight="1" s="97">
      <c r="B31" s="55" t="inlineStr">
        <is>
          <t>26년 2월</t>
        </is>
      </c>
      <c r="C31" s="3">
        <f>IF($B31=참고!$D$5,1,C32+1)</f>
        <v/>
      </c>
      <c r="D31" s="123">
        <f>SUMIFS(원장!$H:$H,원장!$A:$A,증감분석!$B31,원장!$D:$D,증감분석!D$9,원장!$E:$E,증감분석!D$10)</f>
        <v/>
      </c>
      <c r="E31" s="123">
        <f>SUMIFS(원장!$H:$H,원장!$A:$A,증감분석!$B31,원장!$D:$D,증감분석!E$9,원장!$E:$E,증감분석!E$10)</f>
        <v/>
      </c>
      <c r="F31" s="123">
        <f>SUMIFS(원장!$H:$H,원장!$A:$A,증감분석!$B31,원장!$D:$D,증감분석!F$9,원장!$E:$E,증감분석!F$10)</f>
        <v/>
      </c>
      <c r="G31" s="123">
        <f>SUM(D31:F31)</f>
        <v/>
      </c>
      <c r="H31" s="123">
        <f>SUMIFS(원장!$H:$H,원장!$A:$A,증감분석!$B31,원장!$D:$D,증감분석!H$9,원장!$E:$E,증감분석!H$10)</f>
        <v/>
      </c>
      <c r="I31" s="123">
        <f>SUMIFS(원장!$H:$H,원장!$A:$A,증감분석!$B31,원장!$D:$D,증감분석!I$9,원장!$E:$E,증감분석!I$10)</f>
        <v/>
      </c>
      <c r="J31" s="123">
        <f>SUMIFS(원장!$H:$H,원장!$A:$A,증감분석!$B31,원장!$D:$D,증감분석!J$9,원장!$E:$E,증감분석!J$10)</f>
        <v/>
      </c>
      <c r="K31" s="123">
        <f>SUMIFS(원장!$H:$H,원장!$A:$A,증감분석!$B31,원장!$D:$D,증감분석!K$9,원장!$E:$E,증감분석!K$10)</f>
        <v/>
      </c>
      <c r="L31" s="123">
        <f>SUM(H31:K31)</f>
        <v/>
      </c>
      <c r="M31" s="123">
        <f>G31+L31</f>
        <v/>
      </c>
      <c r="N31" s="123">
        <f>SUM($M$11:M31)</f>
        <v/>
      </c>
      <c r="P31" s="55">
        <f>B31</f>
        <v/>
      </c>
      <c r="Q31" s="123">
        <f>G31</f>
        <v/>
      </c>
      <c r="R31" s="127">
        <f>-L31</f>
        <v/>
      </c>
      <c r="S31" s="123">
        <f>N31</f>
        <v/>
      </c>
    </row>
    <row r="32" ht="16.5" customHeight="1" s="97">
      <c r="B32" s="55" t="inlineStr">
        <is>
          <t>26년 3월</t>
        </is>
      </c>
      <c r="C32" s="3">
        <f>IF($B32=참고!$D$5,1,C33+1)</f>
        <v/>
      </c>
      <c r="D32" s="123">
        <f>SUMIFS(원장!$H:$H,원장!$A:$A,증감분석!$B32,원장!$D:$D,증감분석!D$9,원장!$E:$E,증감분석!D$10)</f>
        <v/>
      </c>
      <c r="E32" s="123">
        <f>SUMIFS(원장!$H:$H,원장!$A:$A,증감분석!$B32,원장!$D:$D,증감분석!E$9,원장!$E:$E,증감분석!E$10)</f>
        <v/>
      </c>
      <c r="F32" s="123">
        <f>SUMIFS(원장!$H:$H,원장!$A:$A,증감분석!$B32,원장!$D:$D,증감분석!F$9,원장!$E:$E,증감분석!F$10)</f>
        <v/>
      </c>
      <c r="G32" s="123">
        <f>SUM(D32:F32)</f>
        <v/>
      </c>
      <c r="H32" s="123">
        <f>SUMIFS(원장!$H:$H,원장!$A:$A,증감분석!$B32,원장!$D:$D,증감분석!H$9,원장!$E:$E,증감분석!H$10)</f>
        <v/>
      </c>
      <c r="I32" s="123">
        <f>SUMIFS(원장!$H:$H,원장!$A:$A,증감분석!$B32,원장!$D:$D,증감분석!I$9,원장!$E:$E,증감분석!I$10)</f>
        <v/>
      </c>
      <c r="J32" s="123">
        <f>SUMIFS(원장!$H:$H,원장!$A:$A,증감분석!$B32,원장!$D:$D,증감분석!J$9,원장!$E:$E,증감분석!J$10)</f>
        <v/>
      </c>
      <c r="K32" s="123">
        <f>SUMIFS(원장!$H:$H,원장!$A:$A,증감분석!$B32,원장!$D:$D,증감분석!K$9,원장!$E:$E,증감분석!K$10)</f>
        <v/>
      </c>
      <c r="L32" s="123">
        <f>SUM(H32:K32)</f>
        <v/>
      </c>
      <c r="M32" s="123">
        <f>G32+L32</f>
        <v/>
      </c>
      <c r="N32" s="123">
        <f>SUM($M$11:M32)</f>
        <v/>
      </c>
      <c r="P32" s="55">
        <f>B32</f>
        <v/>
      </c>
      <c r="Q32" s="123">
        <f>G32</f>
        <v/>
      </c>
      <c r="R32" s="127">
        <f>-L32</f>
        <v/>
      </c>
      <c r="S32" s="123">
        <f>N32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70" zoomScaleNormal="70" workbookViewId="0">
      <selection activeCell="AD22" sqref="AD22"/>
    </sheetView>
  </sheetViews>
  <sheetFormatPr baseColWidth="8" defaultRowHeight="16.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C2" sqref="C2"/>
    </sheetView>
  </sheetViews>
  <sheetFormatPr baseColWidth="8" defaultRowHeight="16.5"/>
  <cols>
    <col width="10.875" bestFit="1" customWidth="1" style="97" min="1" max="1"/>
  </cols>
  <sheetData>
    <row r="1">
      <c r="A1" s="67">
        <f>TODAY()</f>
        <v/>
      </c>
      <c r="B1" s="66">
        <f>YEAR(A1)</f>
        <v/>
      </c>
      <c r="C1" s="66">
        <f>MONTH(A1)</f>
        <v/>
      </c>
      <c r="D1" s="66">
        <f>IF(C1-1=0,12,C1-1)</f>
        <v/>
      </c>
      <c r="E1" s="66">
        <f>IF(D1-1=0,12,D1-1)</f>
        <v/>
      </c>
      <c r="F1" s="66">
        <f>IF(E1-1=0,12,E1-1)</f>
        <v/>
      </c>
      <c r="G1" s="66">
        <f>IF(F1-1=0,12,F1-1)</f>
        <v/>
      </c>
      <c r="H1" s="66">
        <f>IF(G1-1=0,12,G1-1)</f>
        <v/>
      </c>
      <c r="I1" s="66">
        <f>IF(H1-1=0,12,H1-1)</f>
        <v/>
      </c>
      <c r="J1" s="66">
        <f>IF(I1-1=0,12,I1-1)</f>
        <v/>
      </c>
      <c r="K1" s="66">
        <f>IF(J1-1=0,12,J1-1)</f>
        <v/>
      </c>
      <c r="L1" s="66">
        <f>IF(K1-1=0,12,K1-1)</f>
        <v/>
      </c>
      <c r="M1" s="66">
        <f>IF(L1-1=0,12,L1-1)</f>
        <v/>
      </c>
      <c r="N1" s="66">
        <f>IF(M1-1=0,12,M1-1)</f>
        <v/>
      </c>
      <c r="O1" s="66">
        <f>IF(N1-1=0,12,N1-1)</f>
        <v/>
      </c>
    </row>
    <row r="2">
      <c r="B2" s="66">
        <f>RIGHT(B1,2)</f>
        <v/>
      </c>
      <c r="C2" s="66">
        <f>B2-1</f>
        <v/>
      </c>
    </row>
    <row r="3">
      <c r="B3" s="66">
        <f>B2&amp;"년"</f>
        <v/>
      </c>
      <c r="C3" s="66">
        <f>C2&amp;"년"</f>
        <v/>
      </c>
    </row>
    <row r="4">
      <c r="D4" s="66">
        <f>D1&amp;"월"</f>
        <v/>
      </c>
      <c r="E4" s="66">
        <f>E1&amp;"월"</f>
        <v/>
      </c>
      <c r="F4" s="66">
        <f>F1&amp;"월"</f>
        <v/>
      </c>
      <c r="G4" s="66">
        <f>G1&amp;"월"</f>
        <v/>
      </c>
      <c r="H4" s="66">
        <f>H1&amp;"월"</f>
        <v/>
      </c>
      <c r="I4" s="66">
        <f>I1&amp;"월"</f>
        <v/>
      </c>
      <c r="J4" s="66">
        <f>J1&amp;"월"</f>
        <v/>
      </c>
      <c r="K4" s="66">
        <f>K1&amp;"월"</f>
        <v/>
      </c>
      <c r="L4" s="66">
        <f>L1&amp;"월"</f>
        <v/>
      </c>
      <c r="M4" s="66">
        <f>M1&amp;"월"</f>
        <v/>
      </c>
      <c r="N4" s="66">
        <f>N1&amp;"월"</f>
        <v/>
      </c>
      <c r="O4" s="66">
        <f>O1&amp;"월"</f>
        <v/>
      </c>
    </row>
    <row r="5">
      <c r="D5" s="66">
        <f>IF(D1&gt;=$C$1,$C$3&amp;" "&amp;D4,$B$3&amp;" "&amp;D4)</f>
        <v/>
      </c>
      <c r="E5" s="66">
        <f>IF(E1&gt;=$C$1,$C$3&amp;" "&amp;E4,$B$3&amp;" "&amp;E4)</f>
        <v/>
      </c>
      <c r="F5" s="66">
        <f>IF(F1&gt;=$C$1,$C$3&amp;" "&amp;F4,$B$3&amp;" "&amp;F4)</f>
        <v/>
      </c>
      <c r="G5" s="66">
        <f>IF(G1&gt;=$C$1,$C$3&amp;" "&amp;G4,$B$3&amp;" "&amp;G4)</f>
        <v/>
      </c>
      <c r="H5" s="66">
        <f>IF(H1&gt;=$C$1,$C$3&amp;" "&amp;H4,$B$3&amp;" "&amp;H4)</f>
        <v/>
      </c>
      <c r="I5" s="66">
        <f>IF(I1&gt;=$C$1,$C$3&amp;" "&amp;I4,$B$3&amp;" "&amp;I4)</f>
        <v/>
      </c>
      <c r="J5" s="66">
        <f>IF(J1&gt;=$C$1,$C$3&amp;" "&amp;J4,$B$3&amp;" "&amp;J4)</f>
        <v/>
      </c>
      <c r="K5" s="66">
        <f>IF(K1&gt;=$C$1,$C$3&amp;" "&amp;K4,$B$3&amp;" "&amp;K4)</f>
        <v/>
      </c>
      <c r="L5" s="66">
        <f>IF(L1&gt;=$C$1,$C$3&amp;" "&amp;L4,$B$3&amp;" "&amp;L4)</f>
        <v/>
      </c>
      <c r="M5" s="66">
        <f>IF(M1&gt;=$C$1,$C$3&amp;" "&amp;M4,$B$3&amp;" "&amp;M4)</f>
        <v/>
      </c>
      <c r="N5" s="66">
        <f>IF(N1&gt;=$C$1,$C$3&amp;" "&amp;N4,$B$3&amp;" "&amp;N4)</f>
        <v/>
      </c>
      <c r="O5" s="66">
        <f>IF(O1&gt;=$C$1,$C$3&amp;" "&amp;O4,$B$3&amp;" "&amp;O4)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5:M16"/>
  <sheetViews>
    <sheetView showGridLines="0" zoomScale="115" zoomScaleNormal="115" workbookViewId="0">
      <selection activeCell="G14" sqref="G14"/>
    </sheetView>
  </sheetViews>
  <sheetFormatPr baseColWidth="8" defaultRowHeight="16.5"/>
  <cols>
    <col width="7.5" customWidth="1" style="97" min="1" max="2"/>
    <col width="6.625" customWidth="1" style="97" min="3" max="4"/>
    <col width="13.375" customWidth="1" style="53" min="5" max="9"/>
    <col width="13.375" customWidth="1" style="97" min="10" max="11"/>
    <col width="6.625" customWidth="1" style="97" min="12" max="13"/>
  </cols>
  <sheetData>
    <row r="5">
      <c r="C5" s="82" t="n"/>
      <c r="D5" s="83" t="n"/>
      <c r="E5" s="84" t="n"/>
      <c r="F5" s="84" t="n"/>
      <c r="G5" s="84" t="n"/>
      <c r="H5" s="84" t="n"/>
      <c r="I5" s="84" t="n"/>
      <c r="J5" s="83" t="n"/>
      <c r="K5" s="83" t="n"/>
      <c r="L5" s="83" t="n"/>
      <c r="M5" s="85" t="n"/>
    </row>
    <row r="6">
      <c r="C6" s="86" t="n"/>
      <c r="M6" s="87" t="n"/>
    </row>
    <row r="7">
      <c r="C7" s="86" t="n"/>
      <c r="M7" s="87" t="n"/>
    </row>
    <row r="8" ht="17.25" customHeight="1" s="97" thickBot="1">
      <c r="C8" s="86" t="n"/>
      <c r="M8" s="87" t="n"/>
    </row>
    <row r="9">
      <c r="C9" s="86" t="n"/>
      <c r="E9" s="75" t="inlineStr">
        <is>
          <t>주요 정보</t>
        </is>
      </c>
      <c r="F9" s="92">
        <f>회비입출내역!F1</f>
        <v/>
      </c>
      <c r="G9" s="79">
        <f>회비입출내역!$C$1</f>
        <v/>
      </c>
      <c r="H9" s="79">
        <f>증감분석!B5</f>
        <v/>
      </c>
      <c r="I9" s="79">
        <f>증감분석!B6</f>
        <v/>
      </c>
      <c r="J9" s="1">
        <f>증감분석!$B$7</f>
        <v/>
      </c>
      <c r="K9" s="1" t="inlineStr">
        <is>
          <t>누적</t>
        </is>
      </c>
      <c r="M9" s="87" t="n"/>
    </row>
    <row r="10">
      <c r="C10" s="86" t="n"/>
      <c r="E10" s="76" t="inlineStr">
        <is>
          <t>입금액</t>
        </is>
      </c>
      <c r="F10" s="128">
        <f>회비입출내역!$G$4</f>
        <v/>
      </c>
      <c r="G10" s="129">
        <f>회비입출내역!$D$4</f>
        <v/>
      </c>
      <c r="H10" s="130">
        <f>증감분석!$G$5</f>
        <v/>
      </c>
      <c r="I10" s="130">
        <f>증감분석!$G$6</f>
        <v/>
      </c>
      <c r="J10" s="130">
        <f>증감분석!$G$7</f>
        <v/>
      </c>
      <c r="K10" s="131">
        <f>회비입출내역!$J$4</f>
        <v/>
      </c>
      <c r="M10" s="87" t="n"/>
    </row>
    <row r="11">
      <c r="C11" s="86" t="n"/>
      <c r="E11" s="77" t="inlineStr">
        <is>
          <t>출금액</t>
        </is>
      </c>
      <c r="F11" s="132">
        <f>회비입출내역!$G$9</f>
        <v/>
      </c>
      <c r="G11" s="133">
        <f>회비입출내역!$D$9</f>
        <v/>
      </c>
      <c r="H11" s="123">
        <f>증감분석!$L$5</f>
        <v/>
      </c>
      <c r="I11" s="123">
        <f>증감분석!$L$6</f>
        <v/>
      </c>
      <c r="J11" s="123">
        <f>증감분석!$L$7</f>
        <v/>
      </c>
      <c r="K11" s="134">
        <f>회비입출내역!$J$9</f>
        <v/>
      </c>
      <c r="M11" s="87" t="n"/>
    </row>
    <row r="12" ht="17.25" customHeight="1" s="97" thickBot="1">
      <c r="C12" s="86" t="n"/>
      <c r="E12" s="78" t="inlineStr">
        <is>
          <t>입금액 - 출금액</t>
        </is>
      </c>
      <c r="F12" s="135">
        <f>SUM(F10:F11)</f>
        <v/>
      </c>
      <c r="G12" s="127">
        <f>SUM(G10:G11)</f>
        <v/>
      </c>
      <c r="H12" s="127">
        <f>SUM(H10:H11)</f>
        <v/>
      </c>
      <c r="I12" s="127">
        <f>SUM(I10:I11)</f>
        <v/>
      </c>
      <c r="J12" s="127">
        <f>SUM(J10:J11)</f>
        <v/>
      </c>
      <c r="K12" s="123">
        <f>SUM(K10:K11)</f>
        <v/>
      </c>
      <c r="M12" s="87" t="n"/>
    </row>
    <row r="13">
      <c r="C13" s="86" t="n"/>
      <c r="M13" s="87" t="n"/>
    </row>
    <row r="14">
      <c r="C14" s="86" t="n"/>
      <c r="M14" s="87" t="n"/>
    </row>
    <row r="15">
      <c r="C15" s="86" t="n"/>
      <c r="M15" s="87" t="n"/>
    </row>
    <row r="16">
      <c r="C16" s="88" t="n"/>
      <c r="D16" s="89" t="n"/>
      <c r="E16" s="90" t="n"/>
      <c r="F16" s="90" t="n"/>
      <c r="G16" s="90" t="n"/>
      <c r="H16" s="90" t="n"/>
      <c r="I16" s="90" t="n"/>
      <c r="J16" s="89" t="n"/>
      <c r="K16" s="89" t="n"/>
      <c r="L16" s="89" t="n"/>
      <c r="M16" s="9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L6" sqref="L6"/>
    </sheetView>
  </sheetViews>
  <sheetFormatPr baseColWidth="8" defaultRowHeight="16.5"/>
  <cols>
    <col width="9.5" customWidth="1" style="97" min="1" max="2"/>
  </cols>
  <sheetData>
    <row r="1">
      <c r="A1" s="12" t="inlineStr">
        <is>
          <t>월별Tab Weekday 함수용</t>
        </is>
      </c>
      <c r="B1" s="12" t="n"/>
    </row>
    <row r="2">
      <c r="A2" s="2" t="inlineStr">
        <is>
          <t>숫자</t>
        </is>
      </c>
      <c r="B2" s="2" t="inlineStr">
        <is>
          <t>요일</t>
        </is>
      </c>
    </row>
    <row r="3">
      <c r="A3" s="4" t="n">
        <v>1</v>
      </c>
      <c r="B3" s="4" t="inlineStr">
        <is>
          <t>월</t>
        </is>
      </c>
    </row>
    <row r="4">
      <c r="A4" s="4" t="n">
        <v>2</v>
      </c>
      <c r="B4" s="4" t="inlineStr">
        <is>
          <t>화</t>
        </is>
      </c>
    </row>
    <row r="5">
      <c r="A5" s="4" t="n">
        <v>3</v>
      </c>
      <c r="B5" s="4" t="inlineStr">
        <is>
          <t>수</t>
        </is>
      </c>
    </row>
    <row r="6">
      <c r="A6" s="4" t="n">
        <v>4</v>
      </c>
      <c r="B6" s="4" t="inlineStr">
        <is>
          <t>목</t>
        </is>
      </c>
    </row>
    <row r="7">
      <c r="A7" s="4" t="n">
        <v>5</v>
      </c>
      <c r="B7" s="4" t="inlineStr">
        <is>
          <t>금</t>
        </is>
      </c>
    </row>
    <row r="8">
      <c r="A8" s="4" t="n">
        <v>6</v>
      </c>
      <c r="B8" s="4" t="inlineStr">
        <is>
          <t>토</t>
        </is>
      </c>
    </row>
    <row r="9">
      <c r="A9" s="4" t="n">
        <v>7</v>
      </c>
      <c r="B9" s="4" t="inlineStr">
        <is>
          <t>일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지엽 옥</dc:creator>
  <dcterms:created xmlns:dcterms="http://purl.org/dc/terms/" xmlns:xsi="http://www.w3.org/2001/XMLSchema-instance" xsi:type="dcterms:W3CDTF">2024-12-01T00:42:40Z</dcterms:created>
  <dcterms:modified xmlns:dcterms="http://purl.org/dc/terms/" xmlns:xsi="http://www.w3.org/2001/XMLSchema-instance" xsi:type="dcterms:W3CDTF">2026-10-03T04:14:18Z</dcterms:modified>
  <cp:lastModifiedBy>지엽 옥</cp:lastModifiedBy>
  <cp:lastPrinted>2026-02-01T17:37:22Z</cp:lastPrinted>
</cp:coreProperties>
</file>