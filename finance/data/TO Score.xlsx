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TO-Score\finance\data\"/>
    </mc:Choice>
  </mc:AlternateContent>
  <xr:revisionPtr revIDLastSave="0" documentId="13_ncr:1_{1EC8C65D-DF92-4A7A-AB0C-8EB1335733B2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입금현황" sheetId="3" r:id="rId1"/>
    <sheet name="회비입출내역" sheetId="2" r:id="rId2"/>
    <sheet name="원장" sheetId="4" r:id="rId3"/>
    <sheet name="증감분석" sheetId="5" r:id="rId4"/>
    <sheet name="증감분석차트" sheetId="6" r:id="rId5"/>
    <sheet name="참고" sheetId="7" r:id="rId6"/>
    <sheet name="주요정보" sheetId="1" r:id="rId7"/>
    <sheet name="참조" sheetId="8" state="hidden" r:id="rId8"/>
  </sheets>
  <definedNames>
    <definedName name="_xlnm.Print_Area" localSheetId="1">회비입출내역!$A$2:$J$15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3" l="1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3" i="3"/>
  <c r="H7" i="4"/>
  <c r="B7" i="4"/>
  <c r="A7" i="4"/>
  <c r="C42" i="3"/>
  <c r="C41" i="3"/>
  <c r="C40" i="3"/>
  <c r="C39" i="3"/>
  <c r="C38" i="3"/>
  <c r="C37" i="3"/>
  <c r="C36" i="3"/>
  <c r="C35" i="3"/>
  <c r="H4" i="4"/>
  <c r="B4" i="4"/>
  <c r="A4" i="4"/>
  <c r="B5" i="4"/>
  <c r="A5" i="4"/>
  <c r="A1" i="7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B12" i="4"/>
  <c r="A12" i="4"/>
  <c r="B11" i="4"/>
  <c r="A11" i="4"/>
  <c r="B10" i="4"/>
  <c r="A10" i="4"/>
  <c r="B9" i="4"/>
  <c r="A9" i="4"/>
  <c r="B8" i="4"/>
  <c r="A8" i="4"/>
  <c r="B6" i="4"/>
  <c r="A6" i="4"/>
  <c r="B3" i="4"/>
  <c r="A3" i="4"/>
  <c r="I13" i="2"/>
  <c r="J9" i="1"/>
  <c r="I9" i="1"/>
  <c r="H9" i="1"/>
  <c r="G12" i="4" l="1"/>
  <c r="G11" i="4"/>
  <c r="G10" i="4"/>
  <c r="G8" i="4"/>
  <c r="G9" i="4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8" i="3"/>
  <c r="C7" i="3"/>
  <c r="C5" i="3"/>
  <c r="C3" i="3"/>
  <c r="C14" i="3"/>
  <c r="C13" i="3"/>
  <c r="C12" i="3"/>
  <c r="C11" i="3"/>
  <c r="C10" i="3"/>
  <c r="C9" i="3"/>
  <c r="C6" i="3"/>
  <c r="C4" i="3"/>
  <c r="G6" i="4"/>
  <c r="C2" i="3"/>
  <c r="G3" i="4"/>
  <c r="H5" i="4"/>
  <c r="D17" i="5"/>
  <c r="K21" i="5"/>
  <c r="I6" i="2"/>
  <c r="H6" i="4"/>
  <c r="D12" i="5"/>
  <c r="D19" i="5"/>
  <c r="D18" i="5"/>
  <c r="I11" i="2"/>
  <c r="H16" i="5"/>
  <c r="D20" i="5"/>
  <c r="H20" i="5"/>
  <c r="D16" i="5"/>
  <c r="I12" i="2"/>
  <c r="D15" i="5"/>
  <c r="C1" i="7"/>
  <c r="D1" i="7" s="1"/>
  <c r="B1" i="7"/>
  <c r="B2" i="7" s="1"/>
  <c r="I22" i="5"/>
  <c r="J21" i="5"/>
  <c r="D21" i="5"/>
  <c r="I19" i="5"/>
  <c r="K18" i="5"/>
  <c r="H17" i="5"/>
  <c r="I16" i="5"/>
  <c r="J15" i="5"/>
  <c r="D30" i="5"/>
  <c r="H29" i="5"/>
  <c r="E29" i="5"/>
  <c r="H25" i="5"/>
  <c r="J24" i="5"/>
  <c r="D24" i="5"/>
  <c r="K29" i="5"/>
  <c r="F29" i="5"/>
  <c r="K25" i="5"/>
  <c r="E25" i="5"/>
  <c r="H24" i="5"/>
  <c r="J23" i="5"/>
  <c r="D23" i="5"/>
  <c r="F22" i="5"/>
  <c r="H21" i="5"/>
  <c r="J20" i="5"/>
  <c r="F19" i="5"/>
  <c r="J18" i="5"/>
  <c r="E18" i="5"/>
  <c r="F15" i="5"/>
  <c r="H23" i="5"/>
  <c r="J22" i="5"/>
  <c r="D22" i="5"/>
  <c r="E21" i="5"/>
  <c r="F20" i="5"/>
  <c r="J19" i="5"/>
  <c r="E19" i="5"/>
  <c r="F18" i="5"/>
  <c r="I17" i="5"/>
  <c r="K16" i="5"/>
  <c r="H26" i="5"/>
  <c r="F26" i="5"/>
  <c r="E26" i="5"/>
  <c r="J25" i="5"/>
  <c r="D25" i="5"/>
  <c r="F24" i="5"/>
  <c r="I23" i="5"/>
  <c r="K22" i="5"/>
  <c r="E22" i="5"/>
  <c r="F21" i="5"/>
  <c r="I20" i="5"/>
  <c r="K19" i="5"/>
  <c r="H18" i="5"/>
  <c r="J17" i="5"/>
  <c r="J16" i="5"/>
  <c r="K15" i="5"/>
  <c r="E15" i="5"/>
  <c r="H12" i="5"/>
  <c r="F12" i="5"/>
  <c r="E12" i="5"/>
  <c r="K11" i="5"/>
  <c r="J11" i="5"/>
  <c r="I11" i="5"/>
  <c r="F11" i="5"/>
  <c r="E11" i="5"/>
  <c r="E17" i="5"/>
  <c r="E16" i="5"/>
  <c r="E23" i="5"/>
  <c r="J29" i="5"/>
  <c r="D26" i="5"/>
  <c r="F25" i="5"/>
  <c r="I24" i="5"/>
  <c r="K23" i="5"/>
  <c r="H22" i="5"/>
  <c r="I21" i="5"/>
  <c r="K20" i="5"/>
  <c r="E20" i="5"/>
  <c r="H19" i="5"/>
  <c r="I18" i="5"/>
  <c r="K17" i="5"/>
  <c r="F16" i="5"/>
  <c r="H15" i="5"/>
  <c r="I15" i="5"/>
  <c r="I29" i="5"/>
  <c r="D29" i="5"/>
  <c r="I25" i="5"/>
  <c r="K24" i="5"/>
  <c r="E24" i="5"/>
  <c r="F23" i="5"/>
  <c r="F17" i="5"/>
  <c r="I7" i="2"/>
  <c r="H11" i="5"/>
  <c r="I10" i="2"/>
  <c r="J31" i="5"/>
  <c r="I31" i="5"/>
  <c r="D31" i="5"/>
  <c r="J30" i="5"/>
  <c r="H30" i="5"/>
  <c r="E30" i="5"/>
  <c r="K28" i="5"/>
  <c r="J28" i="5"/>
  <c r="I28" i="5"/>
  <c r="H28" i="5"/>
  <c r="F28" i="5"/>
  <c r="E28" i="5"/>
  <c r="D28" i="5"/>
  <c r="K27" i="5"/>
  <c r="J27" i="5"/>
  <c r="I27" i="5"/>
  <c r="I12" i="5"/>
  <c r="J12" i="5"/>
  <c r="K12" i="5"/>
  <c r="F31" i="5"/>
  <c r="E13" i="5"/>
  <c r="J13" i="5"/>
  <c r="F13" i="5"/>
  <c r="H13" i="5"/>
  <c r="I13" i="5"/>
  <c r="K13" i="5"/>
  <c r="D14" i="5"/>
  <c r="K32" i="5"/>
  <c r="D13" i="5"/>
  <c r="F27" i="5"/>
  <c r="H27" i="5"/>
  <c r="J32" i="5"/>
  <c r="K31" i="5"/>
  <c r="H31" i="5"/>
  <c r="E31" i="5"/>
  <c r="K30" i="5"/>
  <c r="I30" i="5"/>
  <c r="F30" i="5"/>
  <c r="I32" i="5"/>
  <c r="H32" i="5"/>
  <c r="F32" i="5"/>
  <c r="E14" i="5"/>
  <c r="F14" i="5"/>
  <c r="H14" i="5"/>
  <c r="I14" i="5"/>
  <c r="J14" i="5"/>
  <c r="K14" i="5"/>
  <c r="I26" i="5"/>
  <c r="J26" i="5"/>
  <c r="K26" i="5"/>
  <c r="D27" i="5"/>
  <c r="E27" i="5"/>
  <c r="E32" i="5"/>
  <c r="D32" i="5"/>
  <c r="H12" i="4" l="1"/>
  <c r="C45" i="3"/>
  <c r="H8" i="4"/>
  <c r="H10" i="4"/>
  <c r="H11" i="4"/>
  <c r="H9" i="4"/>
  <c r="H3" i="4"/>
  <c r="G13" i="5"/>
  <c r="G12" i="5"/>
  <c r="Q12" i="5" s="1"/>
  <c r="L28" i="5"/>
  <c r="R28" i="5" s="1"/>
  <c r="G32" i="5"/>
  <c r="Q32" i="5" s="1"/>
  <c r="G18" i="5"/>
  <c r="Q18" i="5" s="1"/>
  <c r="G26" i="5"/>
  <c r="Q26" i="5" s="1"/>
  <c r="L22" i="5"/>
  <c r="R22" i="5" s="1"/>
  <c r="G29" i="5"/>
  <c r="Q29" i="5" s="1"/>
  <c r="J9" i="2"/>
  <c r="K11" i="1" s="1"/>
  <c r="L27" i="5"/>
  <c r="R27" i="5" s="1"/>
  <c r="G30" i="5"/>
  <c r="G14" i="5"/>
  <c r="L30" i="5"/>
  <c r="R30" i="5" s="1"/>
  <c r="L21" i="5"/>
  <c r="R21" i="5" s="1"/>
  <c r="G22" i="5"/>
  <c r="G15" i="5"/>
  <c r="G16" i="5"/>
  <c r="Q16" i="5" s="1"/>
  <c r="L20" i="5"/>
  <c r="R20" i="5" s="1"/>
  <c r="L18" i="5"/>
  <c r="E1" i="7"/>
  <c r="D4" i="7"/>
  <c r="C2" i="7"/>
  <c r="C3" i="7" s="1"/>
  <c r="B3" i="7"/>
  <c r="L11" i="5"/>
  <c r="H4" i="5"/>
  <c r="D11" i="5"/>
  <c r="G21" i="5"/>
  <c r="L17" i="5"/>
  <c r="R17" i="5" s="1"/>
  <c r="L16" i="5"/>
  <c r="L29" i="5"/>
  <c r="L25" i="5"/>
  <c r="R25" i="5" s="1"/>
  <c r="G24" i="5"/>
  <c r="L24" i="5"/>
  <c r="R24" i="5" s="1"/>
  <c r="G23" i="5"/>
  <c r="L23" i="5"/>
  <c r="R23" i="5" s="1"/>
  <c r="G19" i="5"/>
  <c r="L26" i="5"/>
  <c r="G25" i="5"/>
  <c r="L12" i="5"/>
  <c r="K4" i="5"/>
  <c r="J4" i="5"/>
  <c r="I4" i="5"/>
  <c r="F4" i="5"/>
  <c r="E4" i="5"/>
  <c r="G17" i="5"/>
  <c r="G20" i="5"/>
  <c r="L19" i="5"/>
  <c r="R19" i="5" s="1"/>
  <c r="L15" i="5"/>
  <c r="R15" i="5" s="1"/>
  <c r="G31" i="5"/>
  <c r="G28" i="5"/>
  <c r="L13" i="5"/>
  <c r="L31" i="5"/>
  <c r="R31" i="5" s="1"/>
  <c r="L32" i="5"/>
  <c r="L14" i="5"/>
  <c r="R14" i="5" s="1"/>
  <c r="G27" i="5"/>
  <c r="I5" i="2" l="1"/>
  <c r="J4" i="2" s="1"/>
  <c r="J15" i="2" s="1"/>
  <c r="J17" i="2" s="1"/>
  <c r="Q13" i="5"/>
  <c r="D5" i="7"/>
  <c r="M14" i="5"/>
  <c r="Q14" i="5"/>
  <c r="R13" i="5"/>
  <c r="M13" i="5"/>
  <c r="R32" i="5"/>
  <c r="M32" i="5"/>
  <c r="M30" i="5"/>
  <c r="Q30" i="5"/>
  <c r="M22" i="5"/>
  <c r="Q22" i="5"/>
  <c r="M15" i="5"/>
  <c r="Q15" i="5"/>
  <c r="R18" i="5"/>
  <c r="M18" i="5"/>
  <c r="F1" i="7"/>
  <c r="E4" i="7"/>
  <c r="E5" i="7" s="1"/>
  <c r="C1" i="2" s="1"/>
  <c r="R11" i="5"/>
  <c r="L4" i="5"/>
  <c r="G11" i="5"/>
  <c r="D4" i="5"/>
  <c r="M21" i="5"/>
  <c r="Q21" i="5"/>
  <c r="Q24" i="5"/>
  <c r="M24" i="5"/>
  <c r="Q23" i="5"/>
  <c r="M23" i="5"/>
  <c r="Q19" i="5"/>
  <c r="M19" i="5"/>
  <c r="Q25" i="5"/>
  <c r="M25" i="5"/>
  <c r="Q17" i="5"/>
  <c r="M17" i="5"/>
  <c r="Q20" i="5"/>
  <c r="M20" i="5"/>
  <c r="M31" i="5"/>
  <c r="Q31" i="5"/>
  <c r="Q28" i="5"/>
  <c r="M28" i="5"/>
  <c r="Q27" i="5"/>
  <c r="M27" i="5"/>
  <c r="R16" i="5"/>
  <c r="M16" i="5"/>
  <c r="R29" i="5"/>
  <c r="M29" i="5"/>
  <c r="R26" i="5"/>
  <c r="M26" i="5"/>
  <c r="R12" i="5"/>
  <c r="M12" i="5"/>
  <c r="K10" i="1" l="1"/>
  <c r="K12" i="1" s="1"/>
  <c r="F1" i="2"/>
  <c r="G1" i="7"/>
  <c r="F4" i="7"/>
  <c r="F5" i="7" s="1"/>
  <c r="C5" i="2"/>
  <c r="C6" i="2"/>
  <c r="C7" i="2"/>
  <c r="C10" i="2"/>
  <c r="C11" i="2"/>
  <c r="C12" i="2"/>
  <c r="C13" i="2"/>
  <c r="G9" i="1"/>
  <c r="M11" i="5"/>
  <c r="Q11" i="5"/>
  <c r="G4" i="5"/>
  <c r="J18" i="2"/>
  <c r="C32" i="5" l="1"/>
  <c r="C31" i="5" s="1"/>
  <c r="C30" i="5" s="1"/>
  <c r="C29" i="5" s="1"/>
  <c r="C28" i="5" s="1"/>
  <c r="C27" i="5" s="1"/>
  <c r="C26" i="5" s="1"/>
  <c r="C25" i="5" s="1"/>
  <c r="C24" i="5" s="1"/>
  <c r="C23" i="5" s="1"/>
  <c r="C22" i="5" s="1"/>
  <c r="C21" i="5" s="1"/>
  <c r="C20" i="5" s="1"/>
  <c r="C19" i="5" s="1"/>
  <c r="C18" i="5" s="1"/>
  <c r="C17" i="5" s="1"/>
  <c r="C16" i="5" s="1"/>
  <c r="C15" i="5" s="1"/>
  <c r="C14" i="5" s="1"/>
  <c r="C13" i="5" s="1"/>
  <c r="C12" i="5" s="1"/>
  <c r="C11" i="5" s="1"/>
  <c r="F5" i="2"/>
  <c r="F6" i="2"/>
  <c r="F7" i="2"/>
  <c r="F10" i="2"/>
  <c r="F11" i="2"/>
  <c r="F12" i="2"/>
  <c r="F9" i="1"/>
  <c r="F13" i="2"/>
  <c r="D5" i="5"/>
  <c r="E5" i="5"/>
  <c r="F5" i="5"/>
  <c r="G5" i="5"/>
  <c r="H10" i="1" s="1"/>
  <c r="H5" i="5"/>
  <c r="I5" i="5"/>
  <c r="J5" i="5"/>
  <c r="K5" i="5"/>
  <c r="L5" i="5"/>
  <c r="H11" i="1" s="1"/>
  <c r="H12" i="1" s="1"/>
  <c r="K6" i="5"/>
  <c r="L6" i="5"/>
  <c r="I11" i="1" s="1"/>
  <c r="D7" i="5"/>
  <c r="E7" i="5"/>
  <c r="F7" i="5"/>
  <c r="G7" i="5"/>
  <c r="J10" i="1" s="1"/>
  <c r="D4" i="2"/>
  <c r="D9" i="2"/>
  <c r="G11" i="1" s="1"/>
  <c r="H1" i="7"/>
  <c r="G4" i="7"/>
  <c r="G5" i="7" s="1"/>
  <c r="N11" i="5"/>
  <c r="S11" i="5" s="1"/>
  <c r="N12" i="5"/>
  <c r="S12" i="5" s="1"/>
  <c r="N13" i="5"/>
  <c r="S13" i="5" s="1"/>
  <c r="N14" i="5"/>
  <c r="S14" i="5" s="1"/>
  <c r="N21" i="5"/>
  <c r="S21" i="5" s="1"/>
  <c r="N15" i="5"/>
  <c r="S15" i="5" s="1"/>
  <c r="N19" i="5"/>
  <c r="S19" i="5" s="1"/>
  <c r="N22" i="5"/>
  <c r="S22" i="5" s="1"/>
  <c r="N26" i="5"/>
  <c r="S26" i="5" s="1"/>
  <c r="N27" i="5"/>
  <c r="S27" i="5" s="1"/>
  <c r="N28" i="5"/>
  <c r="S28" i="5" s="1"/>
  <c r="N25" i="5"/>
  <c r="S25" i="5" s="1"/>
  <c r="N29" i="5"/>
  <c r="S29" i="5" s="1"/>
  <c r="N31" i="5"/>
  <c r="S31" i="5" s="1"/>
  <c r="N32" i="5"/>
  <c r="S32" i="5" s="1"/>
  <c r="N16" i="5"/>
  <c r="S16" i="5" s="1"/>
  <c r="N24" i="5"/>
  <c r="S24" i="5" s="1"/>
  <c r="N30" i="5"/>
  <c r="S30" i="5" s="1"/>
  <c r="N18" i="5"/>
  <c r="S18" i="5" s="1"/>
  <c r="N17" i="5"/>
  <c r="S17" i="5" s="1"/>
  <c r="N20" i="5"/>
  <c r="S20" i="5" s="1"/>
  <c r="N23" i="5"/>
  <c r="S23" i="5" s="1"/>
  <c r="E6" i="5" l="1"/>
  <c r="F6" i="5"/>
  <c r="G6" i="5"/>
  <c r="I10" i="1" s="1"/>
  <c r="H6" i="5"/>
  <c r="I6" i="5"/>
  <c r="J6" i="5"/>
  <c r="K7" i="5"/>
  <c r="H7" i="5"/>
  <c r="I7" i="5"/>
  <c r="J7" i="5"/>
  <c r="L7" i="5"/>
  <c r="J11" i="1" s="1"/>
  <c r="D6" i="5"/>
  <c r="G4" i="2"/>
  <c r="F10" i="1" s="1"/>
  <c r="G9" i="2"/>
  <c r="D15" i="2"/>
  <c r="G10" i="1"/>
  <c r="G12" i="1" s="1"/>
  <c r="I1" i="7"/>
  <c r="H4" i="7"/>
  <c r="H5" i="7" s="1"/>
  <c r="J12" i="1" l="1"/>
  <c r="I12" i="1"/>
  <c r="F11" i="1"/>
  <c r="F12" i="1" s="1"/>
  <c r="G15" i="2"/>
  <c r="J1" i="7"/>
  <c r="I4" i="7"/>
  <c r="I5" i="7" s="1"/>
  <c r="K1" i="7" l="1"/>
  <c r="J4" i="7"/>
  <c r="J5" i="7" s="1"/>
  <c r="L1" i="7" l="1"/>
  <c r="K4" i="7"/>
  <c r="K5" i="7" s="1"/>
  <c r="M1" i="7" l="1"/>
  <c r="L4" i="7"/>
  <c r="L5" i="7" s="1"/>
  <c r="N1" i="7" l="1"/>
  <c r="M4" i="7"/>
  <c r="M5" i="7" s="1"/>
  <c r="O1" i="7" l="1"/>
  <c r="N4" i="7"/>
  <c r="N5" i="7" s="1"/>
  <c r="O4" i="7" l="1"/>
  <c r="O5" i="7" s="1"/>
</calcChain>
</file>

<file path=xl/sharedStrings.xml><?xml version="1.0" encoding="utf-8"?>
<sst xmlns="http://schemas.openxmlformats.org/spreadsheetml/2006/main" count="256" uniqueCount="141">
  <si>
    <t>조현민</t>
  </si>
  <si>
    <t>김성환</t>
  </si>
  <si>
    <t>류성준</t>
  </si>
  <si>
    <t>서정권</t>
  </si>
  <si>
    <t>옥지엽</t>
  </si>
  <si>
    <t>권기표</t>
  </si>
  <si>
    <t>황인호</t>
  </si>
  <si>
    <t>김서래</t>
  </si>
  <si>
    <t>백근호</t>
  </si>
  <si>
    <t>윤준원</t>
  </si>
  <si>
    <t>계</t>
  </si>
  <si>
    <t>유지</t>
  </si>
  <si>
    <t>누적입금액</t>
  </si>
  <si>
    <t>24년 6월</t>
  </si>
  <si>
    <t>24년 7월</t>
  </si>
  <si>
    <t>24년 8월</t>
  </si>
  <si>
    <t>24년 9월</t>
  </si>
  <si>
    <t>24년 10월</t>
  </si>
  <si>
    <t>24년 11월</t>
  </si>
  <si>
    <t>24년 12월</t>
  </si>
  <si>
    <t>25년 1월</t>
  </si>
  <si>
    <t>25년 2월</t>
  </si>
  <si>
    <t>25년 3월</t>
  </si>
  <si>
    <t>25년 4월</t>
  </si>
  <si>
    <t>25년 5월</t>
  </si>
  <si>
    <t>25년 6월</t>
  </si>
  <si>
    <t>25년 7월</t>
  </si>
  <si>
    <t>25년 8월</t>
  </si>
  <si>
    <t>25년 9월</t>
  </si>
  <si>
    <t>25년 10월</t>
  </si>
  <si>
    <t>25년 11월</t>
  </si>
  <si>
    <t>25년 12월</t>
  </si>
  <si>
    <t>26년 1월</t>
  </si>
  <si>
    <t>26년 2월</t>
  </si>
  <si>
    <t>26년 3월</t>
  </si>
  <si>
    <t>26년 6월</t>
  </si>
  <si>
    <t>26년 7월</t>
  </si>
  <si>
    <t>26년 8월</t>
  </si>
  <si>
    <t>26년 9월</t>
  </si>
  <si>
    <t>26년 10월</t>
  </si>
  <si>
    <t>26년 11월</t>
  </si>
  <si>
    <t>26년 12월</t>
  </si>
  <si>
    <t>주요 정보</t>
  </si>
  <si>
    <t>누적</t>
  </si>
  <si>
    <t>입금액</t>
  </si>
  <si>
    <t>출금액</t>
  </si>
  <si>
    <t>입금액 - 출금액</t>
  </si>
  <si>
    <t>구분</t>
  </si>
  <si>
    <t>전월</t>
  </si>
  <si>
    <t>당월</t>
  </si>
  <si>
    <t xml:space="preserve"> 입금</t>
  </si>
  <si>
    <t>회비</t>
  </si>
  <si>
    <t>지각비</t>
  </si>
  <si>
    <t>이자</t>
  </si>
  <si>
    <t xml:space="preserve"> 출금</t>
  </si>
  <si>
    <t>모임비</t>
  </si>
  <si>
    <t>강연비</t>
  </si>
  <si>
    <t>경조사비</t>
  </si>
  <si>
    <t>경품비</t>
  </si>
  <si>
    <t xml:space="preserve"> 입금 - 출금</t>
  </si>
  <si>
    <t>연월</t>
  </si>
  <si>
    <t>요일</t>
  </si>
  <si>
    <t>일자</t>
  </si>
  <si>
    <t>분류1</t>
  </si>
  <si>
    <t>분류2</t>
  </si>
  <si>
    <t>차변</t>
  </si>
  <si>
    <t>대변</t>
  </si>
  <si>
    <t>대변-차변</t>
  </si>
  <si>
    <t>비고</t>
  </si>
  <si>
    <t>수식</t>
  </si>
  <si>
    <t>입력</t>
  </si>
  <si>
    <t>입금</t>
  </si>
  <si>
    <t>월간회비납부</t>
  </si>
  <si>
    <t>출금</t>
  </si>
  <si>
    <t>월간이자_잔액맞추기용</t>
  </si>
  <si>
    <t>개월수 역산</t>
  </si>
  <si>
    <t>전체평균</t>
  </si>
  <si>
    <t>최근3개월평균</t>
  </si>
  <si>
    <t>최근6개월평균</t>
  </si>
  <si>
    <t>최근12개월평균</t>
  </si>
  <si>
    <t>입금-출금</t>
  </si>
  <si>
    <t>차트용</t>
  </si>
  <si>
    <t>월별Tab Weekday 함수용</t>
  </si>
  <si>
    <t>숫자</t>
  </si>
  <si>
    <t>월</t>
  </si>
  <si>
    <t>화</t>
  </si>
  <si>
    <t>수</t>
  </si>
  <si>
    <t>목</t>
  </si>
  <si>
    <t>금</t>
  </si>
  <si>
    <t>토</t>
  </si>
  <si>
    <t>일</t>
  </si>
  <si>
    <t>5월 5일 잔액</t>
    <phoneticPr fontId="1" type="noConversion"/>
  </si>
  <si>
    <t>김산</t>
  </si>
  <si>
    <t>이형석</t>
  </si>
  <si>
    <t>이현우</t>
  </si>
  <si>
    <t>윤석원</t>
  </si>
  <si>
    <t>임승언</t>
  </si>
  <si>
    <t>나한영</t>
  </si>
  <si>
    <t>홍경택</t>
  </si>
  <si>
    <t>김수민</t>
  </si>
  <si>
    <t>이정승</t>
  </si>
  <si>
    <t>박병우</t>
  </si>
  <si>
    <t>임익준</t>
  </si>
  <si>
    <t>김대우</t>
  </si>
  <si>
    <t>최창환</t>
  </si>
  <si>
    <t>윤현호</t>
  </si>
  <si>
    <t>손원우</t>
  </si>
  <si>
    <t>조성태</t>
  </si>
  <si>
    <t>이은광</t>
  </si>
  <si>
    <t>강현수</t>
  </si>
  <si>
    <t>김성환(92)</t>
  </si>
  <si>
    <t>이준범</t>
  </si>
  <si>
    <t>황호연</t>
  </si>
  <si>
    <t>이건희</t>
  </si>
  <si>
    <t>김준기</t>
  </si>
  <si>
    <t>김현섭</t>
  </si>
  <si>
    <t>김지수</t>
  </si>
  <si>
    <t>최원재</t>
  </si>
  <si>
    <t>이호준</t>
  </si>
  <si>
    <t>강충현</t>
  </si>
  <si>
    <t>박헌우</t>
  </si>
  <si>
    <t>주홍석</t>
  </si>
  <si>
    <t>이도영</t>
  </si>
  <si>
    <t>Status</t>
    <phoneticPr fontId="1" type="noConversion"/>
  </si>
  <si>
    <t>26년 5월</t>
    <phoneticPr fontId="1" type="noConversion"/>
  </si>
  <si>
    <t>27년 1월</t>
    <phoneticPr fontId="1" type="noConversion"/>
  </si>
  <si>
    <t>27년 2월</t>
  </si>
  <si>
    <t>27년 3월</t>
  </si>
  <si>
    <t>27년 4월</t>
  </si>
  <si>
    <t>27년 5월</t>
  </si>
  <si>
    <t>27년 6월</t>
  </si>
  <si>
    <t>27년 7월</t>
  </si>
  <si>
    <t>27년 8월</t>
  </si>
  <si>
    <t>27년 9월</t>
  </si>
  <si>
    <t>27년 10월</t>
  </si>
  <si>
    <t>27년 11월</t>
  </si>
  <si>
    <t>27년 12월</t>
  </si>
  <si>
    <t>권기표, 상품 등</t>
    <phoneticPr fontId="1" type="noConversion"/>
  </si>
  <si>
    <t>황인호, 현수막 제작 등</t>
    <phoneticPr fontId="1" type="noConversion"/>
  </si>
  <si>
    <t>박진석</t>
    <phoneticPr fontId="1" type="noConversion"/>
  </si>
  <si>
    <t>탈퇴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</si>
</sst>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;[Red]\(#,##0\);&quot;-&quot;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나눔바른고딕"/>
      <family val="3"/>
      <charset val="129"/>
    </font>
    <font>
      <sz val="11"/>
      <color theme="1"/>
      <name val="맑은 고딕"/>
      <family val="2"/>
      <charset val="129"/>
    </font>
    <font>
      <sz val="12"/>
      <color theme="1"/>
      <name val="맑은 고딕"/>
      <family val="2"/>
      <charset val="129"/>
      <scheme val="minor"/>
    </font>
    <font>
      <sz val="12"/>
      <color theme="1"/>
      <name val="나눔바른고딕"/>
      <family val="3"/>
      <charset val="129"/>
    </font>
    <font>
      <sz val="14"/>
      <color theme="1"/>
      <name val="나눔바른고딕"/>
      <family val="3"/>
      <charset val="129"/>
    </font>
    <font>
      <sz val="13"/>
      <color theme="1"/>
      <name val="나눔바른고딕"/>
      <family val="3"/>
      <charset val="129"/>
    </font>
    <font>
      <b/>
      <sz val="10"/>
      <color theme="1"/>
      <name val="나눔바른고딕"/>
      <family val="3"/>
      <charset val="129"/>
    </font>
    <font>
      <b/>
      <sz val="11"/>
      <color rgb="FF0000FF"/>
      <name val="나눔바른고딕"/>
      <family val="3"/>
      <charset val="129"/>
    </font>
    <font>
      <b/>
      <sz val="11"/>
      <color theme="1"/>
      <name val="나눔바른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lightUp"/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101">
    <xf numFmtId="0" fontId="0" fillId="0" borderId="0" xfId="0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76" fontId="2" fillId="4" borderId="2" xfId="0" applyNumberFormat="1" applyFont="1" applyFill="1" applyBorder="1">
      <alignment vertical="center"/>
    </xf>
    <xf numFmtId="176" fontId="0" fillId="0" borderId="0" xfId="0" applyNumberFormat="1">
      <alignment vertical="center"/>
    </xf>
    <xf numFmtId="0" fontId="2" fillId="2" borderId="4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2" fillId="4" borderId="2" xfId="1" applyFont="1" applyFill="1" applyBorder="1" applyAlignment="1">
      <alignment horizontal="center" vertical="center"/>
    </xf>
    <xf numFmtId="0" fontId="2" fillId="5" borderId="4" xfId="1" applyFont="1" applyFill="1" applyBorder="1" applyAlignment="1">
      <alignment horizontal="center" vertical="center"/>
    </xf>
    <xf numFmtId="0" fontId="2" fillId="6" borderId="0" xfId="1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Continuous" vertical="center"/>
    </xf>
    <xf numFmtId="14" fontId="2" fillId="6" borderId="2" xfId="1" applyNumberFormat="1" applyFont="1" applyFill="1" applyBorder="1" applyAlignment="1">
      <alignment horizontal="center" vertical="center"/>
    </xf>
    <xf numFmtId="176" fontId="2" fillId="6" borderId="2" xfId="1" applyNumberFormat="1" applyFont="1" applyFill="1" applyBorder="1" applyAlignment="1">
      <alignment horizontal="right" vertical="center"/>
    </xf>
    <xf numFmtId="14" fontId="2" fillId="6" borderId="2" xfId="1" applyNumberFormat="1" applyFont="1" applyFill="1" applyBorder="1" applyAlignment="1">
      <alignment horizontal="left" vertical="center"/>
    </xf>
    <xf numFmtId="176" fontId="2" fillId="4" borderId="2" xfId="1" applyNumberFormat="1" applyFont="1" applyFill="1" applyBorder="1" applyAlignment="1">
      <alignment horizontal="right" vertical="center"/>
    </xf>
    <xf numFmtId="0" fontId="4" fillId="0" borderId="0" xfId="0" applyFont="1">
      <alignment vertical="center"/>
    </xf>
    <xf numFmtId="0" fontId="5" fillId="6" borderId="0" xfId="0" applyFont="1" applyFill="1" applyAlignment="1">
      <alignment horizontal="center" vertical="center"/>
    </xf>
    <xf numFmtId="176" fontId="5" fillId="0" borderId="2" xfId="0" applyNumberFormat="1" applyFont="1" applyBorder="1" applyAlignment="1">
      <alignment horizontal="right" vertical="center" wrapText="1"/>
    </xf>
    <xf numFmtId="176" fontId="5" fillId="0" borderId="2" xfId="0" applyNumberFormat="1" applyFont="1" applyBorder="1">
      <alignment vertical="center"/>
    </xf>
    <xf numFmtId="0" fontId="5" fillId="0" borderId="2" xfId="0" applyFont="1" applyBorder="1">
      <alignment vertical="center"/>
    </xf>
    <xf numFmtId="176" fontId="5" fillId="0" borderId="0" xfId="0" applyNumberFormat="1" applyFont="1" applyAlignment="1">
      <alignment horizontal="center" vertical="center"/>
    </xf>
    <xf numFmtId="176" fontId="5" fillId="0" borderId="0" xfId="0" applyNumberFormat="1" applyFont="1">
      <alignment vertical="center"/>
    </xf>
    <xf numFmtId="176" fontId="2" fillId="6" borderId="2" xfId="0" applyNumberFormat="1" applyFont="1" applyFill="1" applyBorder="1">
      <alignment vertical="center"/>
    </xf>
    <xf numFmtId="0" fontId="0" fillId="6" borderId="2" xfId="0" applyFill="1" applyBorder="1">
      <alignment vertical="center"/>
    </xf>
    <xf numFmtId="0" fontId="5" fillId="4" borderId="5" xfId="0" applyFont="1" applyFill="1" applyBorder="1">
      <alignment vertical="center"/>
    </xf>
    <xf numFmtId="176" fontId="5" fillId="0" borderId="6" xfId="0" applyNumberFormat="1" applyFont="1" applyBorder="1" applyAlignment="1">
      <alignment horizontal="right" vertical="center" wrapText="1"/>
    </xf>
    <xf numFmtId="176" fontId="5" fillId="0" borderId="5" xfId="0" applyNumberFormat="1" applyFont="1" applyBorder="1" applyAlignment="1">
      <alignment horizontal="right" vertical="center" wrapText="1"/>
    </xf>
    <xf numFmtId="176" fontId="5" fillId="0" borderId="7" xfId="0" applyNumberFormat="1" applyFont="1" applyBorder="1">
      <alignment vertical="center"/>
    </xf>
    <xf numFmtId="176" fontId="5" fillId="4" borderId="5" xfId="0" applyNumberFormat="1" applyFont="1" applyFill="1" applyBorder="1">
      <alignment vertical="center"/>
    </xf>
    <xf numFmtId="0" fontId="6" fillId="7" borderId="5" xfId="0" applyFont="1" applyFill="1" applyBorder="1" applyAlignment="1">
      <alignment horizontal="centerContinuous" vertical="center"/>
    </xf>
    <xf numFmtId="0" fontId="6" fillId="7" borderId="2" xfId="0" applyFont="1" applyFill="1" applyBorder="1" applyAlignment="1">
      <alignment horizontal="centerContinuous" vertical="center"/>
    </xf>
    <xf numFmtId="0" fontId="6" fillId="7" borderId="6" xfId="0" applyFont="1" applyFill="1" applyBorder="1" applyAlignment="1">
      <alignment horizontal="centerContinuous" vertical="center"/>
    </xf>
    <xf numFmtId="176" fontId="7" fillId="4" borderId="7" xfId="0" applyNumberFormat="1" applyFont="1" applyFill="1" applyBorder="1">
      <alignment vertical="center"/>
    </xf>
    <xf numFmtId="176" fontId="7" fillId="4" borderId="6" xfId="0" applyNumberFormat="1" applyFont="1" applyFill="1" applyBorder="1">
      <alignment vertical="center"/>
    </xf>
    <xf numFmtId="176" fontId="7" fillId="4" borderId="2" xfId="0" applyNumberFormat="1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2" xfId="0" applyFont="1" applyFill="1" applyBorder="1">
      <alignment vertical="center"/>
    </xf>
    <xf numFmtId="176" fontId="7" fillId="4" borderId="8" xfId="0" applyNumberFormat="1" applyFont="1" applyFill="1" applyBorder="1">
      <alignment vertical="center"/>
    </xf>
    <xf numFmtId="176" fontId="5" fillId="0" borderId="8" xfId="0" applyNumberFormat="1" applyFont="1" applyBorder="1">
      <alignment vertical="center"/>
    </xf>
    <xf numFmtId="176" fontId="5" fillId="0" borderId="9" xfId="0" applyNumberFormat="1" applyFont="1" applyBorder="1" applyAlignment="1">
      <alignment horizontal="right" vertical="center" wrapText="1"/>
    </xf>
    <xf numFmtId="0" fontId="5" fillId="0" borderId="6" xfId="0" applyFont="1" applyBorder="1">
      <alignment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6" xfId="0" applyFont="1" applyFill="1" applyBorder="1">
      <alignment vertical="center"/>
    </xf>
    <xf numFmtId="176" fontId="5" fillId="0" borderId="9" xfId="0" applyNumberFormat="1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0" borderId="2" xfId="0" applyFont="1" applyBorder="1" applyAlignment="1">
      <alignment horizontal="centerContinuous" vertical="center"/>
    </xf>
    <xf numFmtId="0" fontId="6" fillId="0" borderId="8" xfId="0" applyFont="1" applyBorder="1">
      <alignment vertical="center"/>
    </xf>
    <xf numFmtId="0" fontId="6" fillId="0" borderId="5" xfId="0" applyFont="1" applyBorder="1" applyAlignment="1">
      <alignment horizontal="centerContinuous" vertical="center"/>
    </xf>
    <xf numFmtId="0" fontId="6" fillId="0" borderId="7" xfId="0" applyFont="1" applyBorder="1" applyAlignment="1">
      <alignment horizontal="centerContinuous" vertical="center"/>
    </xf>
    <xf numFmtId="0" fontId="6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horizontal="centerContinuous" vertical="center"/>
    </xf>
    <xf numFmtId="0" fontId="2" fillId="0" borderId="0" xfId="0" applyFont="1">
      <alignment vertical="center"/>
    </xf>
    <xf numFmtId="0" fontId="2" fillId="2" borderId="10" xfId="1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4" borderId="10" xfId="1" applyFont="1" applyFill="1" applyBorder="1" applyAlignment="1">
      <alignment horizontal="center" vertical="center"/>
    </xf>
    <xf numFmtId="176" fontId="2" fillId="0" borderId="2" xfId="0" applyNumberFormat="1" applyFont="1" applyBorder="1">
      <alignment vertical="center"/>
    </xf>
    <xf numFmtId="0" fontId="2" fillId="2" borderId="2" xfId="1" applyFont="1" applyFill="1" applyBorder="1" applyAlignment="1">
      <alignment horizontal="centerContinuous" vertical="center"/>
    </xf>
    <xf numFmtId="0" fontId="2" fillId="2" borderId="10" xfId="1" applyFont="1" applyFill="1" applyBorder="1" applyAlignment="1">
      <alignment horizontal="centerContinuous" vertical="center"/>
    </xf>
    <xf numFmtId="176" fontId="2" fillId="0" borderId="6" xfId="0" applyNumberFormat="1" applyFont="1" applyBorder="1">
      <alignment vertical="center"/>
    </xf>
    <xf numFmtId="0" fontId="2" fillId="4" borderId="11" xfId="1" applyFont="1" applyFill="1" applyBorder="1" applyAlignment="1">
      <alignment horizontal="center" vertical="center"/>
    </xf>
    <xf numFmtId="0" fontId="2" fillId="4" borderId="12" xfId="1" applyFont="1" applyFill="1" applyBorder="1" applyAlignment="1">
      <alignment horizontal="center" vertical="center"/>
    </xf>
    <xf numFmtId="0" fontId="5" fillId="0" borderId="8" xfId="0" applyFont="1" applyBorder="1">
      <alignment vertical="center"/>
    </xf>
    <xf numFmtId="0" fontId="0" fillId="4" borderId="0" xfId="0" applyFill="1" applyAlignment="1">
      <alignment horizontal="center" vertical="center"/>
    </xf>
    <xf numFmtId="14" fontId="0" fillId="4" borderId="0" xfId="0" applyNumberFormat="1" applyFill="1">
      <alignment vertical="center"/>
    </xf>
    <xf numFmtId="176" fontId="8" fillId="0" borderId="2" xfId="0" applyNumberFormat="1" applyFont="1" applyBorder="1">
      <alignment vertical="center"/>
    </xf>
    <xf numFmtId="0" fontId="9" fillId="8" borderId="2" xfId="0" applyFont="1" applyFill="1" applyBorder="1">
      <alignment vertical="center"/>
    </xf>
    <xf numFmtId="176" fontId="9" fillId="8" borderId="2" xfId="0" applyNumberFormat="1" applyFont="1" applyFill="1" applyBorder="1">
      <alignment vertical="center"/>
    </xf>
    <xf numFmtId="176" fontId="10" fillId="8" borderId="2" xfId="0" applyNumberFormat="1" applyFont="1" applyFill="1" applyBorder="1">
      <alignment vertical="center"/>
    </xf>
    <xf numFmtId="176" fontId="2" fillId="0" borderId="7" xfId="0" applyNumberFormat="1" applyFont="1" applyBorder="1">
      <alignment vertical="center"/>
    </xf>
    <xf numFmtId="176" fontId="2" fillId="0" borderId="3" xfId="0" applyNumberFormat="1" applyFont="1" applyBorder="1">
      <alignment vertical="center"/>
    </xf>
    <xf numFmtId="176" fontId="2" fillId="0" borderId="10" xfId="0" applyNumberFormat="1" applyFont="1" applyBorder="1">
      <alignment vertical="center"/>
    </xf>
    <xf numFmtId="0" fontId="2" fillId="2" borderId="5" xfId="0" applyFont="1" applyFill="1" applyBorder="1" applyAlignment="1">
      <alignment horizontal="center" vertical="center"/>
    </xf>
    <xf numFmtId="0" fontId="2" fillId="0" borderId="13" xfId="0" applyFont="1" applyBorder="1">
      <alignment vertical="center"/>
    </xf>
    <xf numFmtId="0" fontId="2" fillId="0" borderId="11" xfId="0" applyFont="1" applyBorder="1">
      <alignment vertical="center"/>
    </xf>
    <xf numFmtId="0" fontId="2" fillId="0" borderId="5" xfId="0" applyFont="1" applyBorder="1">
      <alignment vertical="center"/>
    </xf>
    <xf numFmtId="0" fontId="2" fillId="2" borderId="6" xfId="0" applyFont="1" applyFill="1" applyBorder="1" applyAlignment="1">
      <alignment horizontal="center" vertical="center"/>
    </xf>
    <xf numFmtId="176" fontId="2" fillId="0" borderId="8" xfId="0" applyNumberFormat="1" applyFont="1" applyBorder="1">
      <alignment vertical="center"/>
    </xf>
    <xf numFmtId="176" fontId="2" fillId="0" borderId="12" xfId="0" applyNumberFormat="1" applyFont="1" applyBorder="1">
      <alignment vertical="center"/>
    </xf>
    <xf numFmtId="0" fontId="0" fillId="0" borderId="11" xfId="0" applyBorder="1">
      <alignment vertical="center"/>
    </xf>
    <xf numFmtId="0" fontId="0" fillId="0" borderId="18" xfId="0" applyBorder="1">
      <alignment vertical="center"/>
    </xf>
    <xf numFmtId="0" fontId="2" fillId="0" borderId="18" xfId="0" applyFont="1" applyBorder="1">
      <alignment vertical="center"/>
    </xf>
    <xf numFmtId="0" fontId="0" fillId="0" borderId="12" xfId="0" applyBorder="1">
      <alignment vertical="center"/>
    </xf>
    <xf numFmtId="0" fontId="0" fillId="0" borderId="1" xfId="0" applyBorder="1">
      <alignment vertical="center"/>
    </xf>
    <xf numFmtId="0" fontId="0" fillId="0" borderId="9" xfId="0" applyBorder="1">
      <alignment vertical="center"/>
    </xf>
    <xf numFmtId="0" fontId="0" fillId="0" borderId="13" xfId="0" applyBorder="1">
      <alignment vertical="center"/>
    </xf>
    <xf numFmtId="0" fontId="0" fillId="0" borderId="19" xfId="0" applyBorder="1">
      <alignment vertical="center"/>
    </xf>
    <xf numFmtId="0" fontId="2" fillId="0" borderId="19" xfId="0" applyFont="1" applyBorder="1">
      <alignment vertical="center"/>
    </xf>
    <xf numFmtId="0" fontId="0" fillId="0" borderId="8" xfId="0" applyBorder="1">
      <alignment vertical="center"/>
    </xf>
    <xf numFmtId="0" fontId="9" fillId="2" borderId="14" xfId="0" applyFont="1" applyFill="1" applyBorder="1" applyAlignment="1">
      <alignment horizontal="center" vertical="center"/>
    </xf>
    <xf numFmtId="176" fontId="9" fillId="0" borderId="15" xfId="0" applyNumberFormat="1" applyFont="1" applyBorder="1">
      <alignment vertical="center"/>
    </xf>
    <xf numFmtId="176" fontId="9" fillId="0" borderId="16" xfId="0" applyNumberFormat="1" applyFont="1" applyBorder="1">
      <alignment vertical="center"/>
    </xf>
    <xf numFmtId="176" fontId="9" fillId="0" borderId="17" xfId="0" applyNumberFormat="1" applyFont="1" applyBorder="1">
      <alignment vertical="center"/>
    </xf>
    <xf numFmtId="176" fontId="2" fillId="6" borderId="2" xfId="0" applyNumberFormat="1" applyFont="1" applyFill="1" applyBorder="1" applyAlignment="1">
      <alignment horizontal="center" vertical="center"/>
    </xf>
    <xf numFmtId="0" fontId="0" fillId="0" borderId="0" xfId="0" applyAlignment="1"/>
    <xf numFmtId="0" fontId="0" fillId="3" borderId="20" xfId="0" applyFill="1" applyBorder="1">
      <alignment vertical="center"/>
    </xf>
    <xf numFmtId="0" fontId="0" fillId="3" borderId="6" xfId="0" applyFill="1" applyBorder="1">
      <alignment vertical="center"/>
    </xf>
    <xf numFmtId="0" fontId="2" fillId="3" borderId="20" xfId="0" applyFont="1" applyFill="1" applyBorder="1" applyAlignment="1">
      <alignment horizontal="center" vertical="center"/>
    </xf>
  </cellXfs>
  <cellStyles count="2">
    <cellStyle name="표준" xfId="0" builtinId="0"/>
    <cellStyle name="표준 2" xfId="1" xr:uid="{00000000-0005-0000-0000-000001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증감분석!$Q$10</c:f>
              <c:strCache>
                <c:ptCount val="1"/>
                <c:pt idx="0">
                  <c:v>입금</c:v>
                </c:pt>
              </c:strCache>
            </c:strRef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증감분석!$P$11:$P$32</c:f>
              <c:strCache>
                <c:ptCount val="22"/>
                <c:pt idx="0">
                  <c:v>24년 6월</c:v>
                </c:pt>
                <c:pt idx="1">
                  <c:v>24년 7월</c:v>
                </c:pt>
                <c:pt idx="2">
                  <c:v>24년 8월</c:v>
                </c:pt>
                <c:pt idx="3">
                  <c:v>24년 9월</c:v>
                </c:pt>
                <c:pt idx="4">
                  <c:v>24년 10월</c:v>
                </c:pt>
                <c:pt idx="5">
                  <c:v>24년 11월</c:v>
                </c:pt>
                <c:pt idx="6">
                  <c:v>24년 12월</c:v>
                </c:pt>
                <c:pt idx="7">
                  <c:v>25년 1월</c:v>
                </c:pt>
                <c:pt idx="8">
                  <c:v>25년 2월</c:v>
                </c:pt>
                <c:pt idx="9">
                  <c:v>25년 3월</c:v>
                </c:pt>
                <c:pt idx="10">
                  <c:v>25년 4월</c:v>
                </c:pt>
                <c:pt idx="11">
                  <c:v>25년 5월</c:v>
                </c:pt>
                <c:pt idx="12">
                  <c:v>25년 6월</c:v>
                </c:pt>
                <c:pt idx="13">
                  <c:v>25년 7월</c:v>
                </c:pt>
                <c:pt idx="14">
                  <c:v>25년 8월</c:v>
                </c:pt>
                <c:pt idx="15">
                  <c:v>25년 9월</c:v>
                </c:pt>
                <c:pt idx="16">
                  <c:v>25년 10월</c:v>
                </c:pt>
                <c:pt idx="17">
                  <c:v>25년 11월</c:v>
                </c:pt>
                <c:pt idx="18">
                  <c:v>25년 12월</c:v>
                </c:pt>
                <c:pt idx="19">
                  <c:v>26년 1월</c:v>
                </c:pt>
                <c:pt idx="20">
                  <c:v>26년 2월</c:v>
                </c:pt>
                <c:pt idx="21">
                  <c:v>26년 3월</c:v>
                </c:pt>
              </c:strCache>
            </c:strRef>
          </c:cat>
          <c:val>
            <c:numRef>
              <c:f>증감분석!$Q$11:$Q$32</c:f>
              <c:numCache>
                <c:formatCode>#,##0;[Red]\(#,##0\);"-"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68-44BA-97F0-9BE1AE13EA8B}"/>
            </c:ext>
          </c:extLst>
        </c:ser>
        <c:ser>
          <c:idx val="1"/>
          <c:order val="1"/>
          <c:tx>
            <c:strRef>
              <c:f>증감분석!$R$10</c:f>
              <c:strCache>
                <c:ptCount val="1"/>
                <c:pt idx="0">
                  <c:v>출금</c:v>
                </c:pt>
              </c:strCache>
            </c:strRef>
          </c:tx>
          <c:spPr>
            <a:ln w="3810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증감분석!$P$11:$P$32</c:f>
              <c:strCache>
                <c:ptCount val="22"/>
                <c:pt idx="0">
                  <c:v>24년 6월</c:v>
                </c:pt>
                <c:pt idx="1">
                  <c:v>24년 7월</c:v>
                </c:pt>
                <c:pt idx="2">
                  <c:v>24년 8월</c:v>
                </c:pt>
                <c:pt idx="3">
                  <c:v>24년 9월</c:v>
                </c:pt>
                <c:pt idx="4">
                  <c:v>24년 10월</c:v>
                </c:pt>
                <c:pt idx="5">
                  <c:v>24년 11월</c:v>
                </c:pt>
                <c:pt idx="6">
                  <c:v>24년 12월</c:v>
                </c:pt>
                <c:pt idx="7">
                  <c:v>25년 1월</c:v>
                </c:pt>
                <c:pt idx="8">
                  <c:v>25년 2월</c:v>
                </c:pt>
                <c:pt idx="9">
                  <c:v>25년 3월</c:v>
                </c:pt>
                <c:pt idx="10">
                  <c:v>25년 4월</c:v>
                </c:pt>
                <c:pt idx="11">
                  <c:v>25년 5월</c:v>
                </c:pt>
                <c:pt idx="12">
                  <c:v>25년 6월</c:v>
                </c:pt>
                <c:pt idx="13">
                  <c:v>25년 7월</c:v>
                </c:pt>
                <c:pt idx="14">
                  <c:v>25년 8월</c:v>
                </c:pt>
                <c:pt idx="15">
                  <c:v>25년 9월</c:v>
                </c:pt>
                <c:pt idx="16">
                  <c:v>25년 10월</c:v>
                </c:pt>
                <c:pt idx="17">
                  <c:v>25년 11월</c:v>
                </c:pt>
                <c:pt idx="18">
                  <c:v>25년 12월</c:v>
                </c:pt>
                <c:pt idx="19">
                  <c:v>26년 1월</c:v>
                </c:pt>
                <c:pt idx="20">
                  <c:v>26년 2월</c:v>
                </c:pt>
                <c:pt idx="21">
                  <c:v>26년 3월</c:v>
                </c:pt>
              </c:strCache>
            </c:strRef>
          </c:cat>
          <c:val>
            <c:numRef>
              <c:f>증감분석!$R$11:$R$32</c:f>
              <c:numCache>
                <c:formatCode>#,##0;[Red]\(#,##0\);"-"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68-44BA-97F0-9BE1AE13EA8B}"/>
            </c:ext>
          </c:extLst>
        </c:ser>
        <c:ser>
          <c:idx val="2"/>
          <c:order val="2"/>
          <c:tx>
            <c:strRef>
              <c:f>증감분석!$S$10</c:f>
              <c:strCache>
                <c:ptCount val="1"/>
                <c:pt idx="0">
                  <c:v>누적</c:v>
                </c:pt>
              </c:strCache>
            </c:strRef>
          </c:tx>
          <c:spPr>
            <a:ln w="3810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증감분석!$P$11:$P$32</c:f>
              <c:strCache>
                <c:ptCount val="22"/>
                <c:pt idx="0">
                  <c:v>24년 6월</c:v>
                </c:pt>
                <c:pt idx="1">
                  <c:v>24년 7월</c:v>
                </c:pt>
                <c:pt idx="2">
                  <c:v>24년 8월</c:v>
                </c:pt>
                <c:pt idx="3">
                  <c:v>24년 9월</c:v>
                </c:pt>
                <c:pt idx="4">
                  <c:v>24년 10월</c:v>
                </c:pt>
                <c:pt idx="5">
                  <c:v>24년 11월</c:v>
                </c:pt>
                <c:pt idx="6">
                  <c:v>24년 12월</c:v>
                </c:pt>
                <c:pt idx="7">
                  <c:v>25년 1월</c:v>
                </c:pt>
                <c:pt idx="8">
                  <c:v>25년 2월</c:v>
                </c:pt>
                <c:pt idx="9">
                  <c:v>25년 3월</c:v>
                </c:pt>
                <c:pt idx="10">
                  <c:v>25년 4월</c:v>
                </c:pt>
                <c:pt idx="11">
                  <c:v>25년 5월</c:v>
                </c:pt>
                <c:pt idx="12">
                  <c:v>25년 6월</c:v>
                </c:pt>
                <c:pt idx="13">
                  <c:v>25년 7월</c:v>
                </c:pt>
                <c:pt idx="14">
                  <c:v>25년 8월</c:v>
                </c:pt>
                <c:pt idx="15">
                  <c:v>25년 9월</c:v>
                </c:pt>
                <c:pt idx="16">
                  <c:v>25년 10월</c:v>
                </c:pt>
                <c:pt idx="17">
                  <c:v>25년 11월</c:v>
                </c:pt>
                <c:pt idx="18">
                  <c:v>25년 12월</c:v>
                </c:pt>
                <c:pt idx="19">
                  <c:v>26년 1월</c:v>
                </c:pt>
                <c:pt idx="20">
                  <c:v>26년 2월</c:v>
                </c:pt>
                <c:pt idx="21">
                  <c:v>26년 3월</c:v>
                </c:pt>
              </c:strCache>
            </c:strRef>
          </c:cat>
          <c:val>
            <c:numRef>
              <c:f>증감분석!$S$11:$S$32</c:f>
              <c:numCache>
                <c:formatCode>#,##0;[Red]\(#,##0\);"-"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68-44BA-97F0-9BE1AE13E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9323040"/>
        <c:axId val="1949323520"/>
      </c:lineChart>
      <c:catAx>
        <c:axId val="194932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323520"/>
        <c:crosses val="autoZero"/>
        <c:auto val="1"/>
        <c:lblAlgn val="ctr"/>
        <c:lblOffset val="100"/>
        <c:noMultiLvlLbl val="0"/>
      </c:catAx>
      <c:valAx>
        <c:axId val="194932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numFmt formatCode="#,##0;[Red]\(#,##0\);&quot;-&quot;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323040"/>
        <c:crosses val="autoZero"/>
        <c:crossBetween val="between"/>
        <c:majorUnit val="500000"/>
        <c:minorUnit val="250000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20</xdr:col>
      <xdr:colOff>654424</xdr:colOff>
      <xdr:row>26</xdr:row>
      <xdr:rowOff>80682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86"/>
  <sheetViews>
    <sheetView zoomScaleNormal="100" workbookViewId="0">
      <pane xSplit="1" ySplit="1" topLeftCell="B17" activePane="bottomRight" state="frozen"/>
      <selection pane="topRight" activeCell="B1" sqref="B1"/>
      <selection pane="bottomLeft" activeCell="A3" sqref="A3"/>
      <selection pane="bottomRight" activeCell="K25" sqref="K25"/>
    </sheetView>
  </sheetViews>
  <sheetFormatPr defaultRowHeight="16.5" x14ac:dyDescent="0.3"/>
  <cols>
    <col min="2" max="2" width="9.375" style="97" bestFit="1" customWidth="1"/>
    <col min="6" max="6" width="10.625" style="97" customWidth="1"/>
  </cols>
  <sheetData>
    <row r="1" spans="1:23" x14ac:dyDescent="0.3">
      <c r="A1" s="1">
        <f>COUNTIFS(B2:B44,"유지")</f>
        <v>41</v>
      </c>
      <c r="B1" s="1" t="s">
        <v>123</v>
      </c>
      <c r="C1" s="4" t="s">
        <v>12</v>
      </c>
      <c r="D1" s="3" t="s">
        <v>124</v>
      </c>
      <c r="E1" s="3" t="s">
        <v>35</v>
      </c>
      <c r="F1" s="3" t="s">
        <v>36</v>
      </c>
      <c r="G1" s="3" t="s">
        <v>37</v>
      </c>
      <c r="H1" s="3" t="s">
        <v>38</v>
      </c>
      <c r="I1" s="3" t="s">
        <v>39</v>
      </c>
      <c r="J1" s="3" t="s">
        <v>40</v>
      </c>
      <c r="K1" s="3" t="s">
        <v>41</v>
      </c>
      <c r="L1" s="3" t="s">
        <v>125</v>
      </c>
      <c r="M1" s="3" t="s">
        <v>126</v>
      </c>
      <c r="N1" s="3" t="s">
        <v>127</v>
      </c>
      <c r="O1" s="3" t="s">
        <v>128</v>
      </c>
      <c r="P1" s="3" t="s">
        <v>129</v>
      </c>
      <c r="Q1" s="3" t="s">
        <v>130</v>
      </c>
      <c r="R1" s="3" t="s">
        <v>131</v>
      </c>
      <c r="S1" s="3" t="s">
        <v>132</v>
      </c>
      <c r="T1" s="3" t="s">
        <v>133</v>
      </c>
      <c r="U1" s="3" t="s">
        <v>134</v>
      </c>
      <c r="V1" s="3" t="s">
        <v>135</v>
      </c>
      <c r="W1" s="3" t="s">
        <v>136</v>
      </c>
    </row>
    <row r="2" spans="1:23" x14ac:dyDescent="0.3">
      <c r="A2" s="3" t="s">
        <v>92</v>
      </c>
      <c r="B2" s="96" t="s">
        <v>11</v>
      </c>
      <c r="C2" s="5">
        <f t="shared" ref="C2:C20" si="0">SUM(D2:CD2)</f>
        <v>40000</v>
      </c>
      <c r="D2" s="24">
        <v>20000</v>
      </c>
      <c r="E2" s="24">
        <v>20000</v>
      </c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</row>
    <row r="3" spans="1:23" x14ac:dyDescent="0.3">
      <c r="A3" s="3" t="s">
        <v>93</v>
      </c>
      <c r="B3" s="96" t="s">
        <v>11</v>
      </c>
      <c r="C3" s="5">
        <f t="shared" si="0"/>
        <v>40000</v>
      </c>
      <c r="D3" s="24">
        <v>20000</v>
      </c>
      <c r="E3" s="24">
        <v>20000</v>
      </c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4" spans="1:23" x14ac:dyDescent="0.3">
      <c r="A4" s="3" t="s">
        <v>94</v>
      </c>
      <c r="B4" s="96" t="s">
        <v>11</v>
      </c>
      <c r="C4" s="5">
        <f t="shared" si="0"/>
        <v>40000</v>
      </c>
      <c r="D4" s="24">
        <v>20000</v>
      </c>
      <c r="E4" s="24">
        <v>20000</v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</row>
    <row r="5" spans="1:23" x14ac:dyDescent="0.3">
      <c r="A5" s="3" t="s">
        <v>95</v>
      </c>
      <c r="B5" s="96" t="s">
        <v>11</v>
      </c>
      <c r="C5" s="5">
        <f t="shared" si="0"/>
        <v>40000</v>
      </c>
      <c r="D5" s="24">
        <v>20000</v>
      </c>
      <c r="E5" s="24">
        <v>20000</v>
      </c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</row>
    <row r="6" spans="1:23" x14ac:dyDescent="0.3">
      <c r="A6" s="3" t="s">
        <v>96</v>
      </c>
      <c r="B6" s="96" t="s">
        <v>11</v>
      </c>
      <c r="C6" s="5">
        <f t="shared" si="0"/>
        <v>40000</v>
      </c>
      <c r="D6" s="24">
        <v>20000</v>
      </c>
      <c r="E6" s="24">
        <v>20000</v>
      </c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</row>
    <row r="7" spans="1:23" x14ac:dyDescent="0.3">
      <c r="A7" s="3" t="s">
        <v>97</v>
      </c>
      <c r="B7" s="96" t="s">
        <v>11</v>
      </c>
      <c r="C7" s="5">
        <f t="shared" si="0"/>
        <v>40000</v>
      </c>
      <c r="D7" s="24">
        <v>20000</v>
      </c>
      <c r="E7" s="24">
        <v>20000</v>
      </c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</row>
    <row r="8" spans="1:23" x14ac:dyDescent="0.3">
      <c r="A8" s="3" t="s">
        <v>98</v>
      </c>
      <c r="B8" s="96" t="s">
        <v>11</v>
      </c>
      <c r="C8" s="5">
        <f t="shared" si="0"/>
        <v>40000</v>
      </c>
      <c r="D8" s="24">
        <v>20000</v>
      </c>
      <c r="E8" s="24">
        <v>20000</v>
      </c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</row>
    <row r="9" spans="1:23" x14ac:dyDescent="0.3">
      <c r="A9" s="3" t="s">
        <v>99</v>
      </c>
      <c r="B9" s="96" t="s">
        <v>11</v>
      </c>
      <c r="C9" s="5">
        <f t="shared" si="0"/>
        <v>40000</v>
      </c>
      <c r="D9" s="24">
        <v>20000</v>
      </c>
      <c r="E9" s="24">
        <v>20000</v>
      </c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</row>
    <row r="10" spans="1:23" x14ac:dyDescent="0.3">
      <c r="A10" s="3" t="s">
        <v>100</v>
      </c>
      <c r="B10" s="96" t="s">
        <v>11</v>
      </c>
      <c r="C10" s="5">
        <f t="shared" si="0"/>
        <v>40000</v>
      </c>
      <c r="D10" s="24">
        <v>20000</v>
      </c>
      <c r="E10" s="24">
        <v>20000</v>
      </c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</row>
    <row r="11" spans="1:23" x14ac:dyDescent="0.3">
      <c r="A11" s="3" t="s">
        <v>101</v>
      </c>
      <c r="B11" s="96" t="s">
        <v>11</v>
      </c>
      <c r="C11" s="5">
        <f t="shared" si="0"/>
        <v>40000</v>
      </c>
      <c r="D11" s="24">
        <v>20000</v>
      </c>
      <c r="E11" s="24">
        <v>20000</v>
      </c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</row>
    <row r="12" spans="1:23" x14ac:dyDescent="0.3">
      <c r="A12" s="3" t="s">
        <v>102</v>
      </c>
      <c r="B12" s="96" t="s">
        <v>11</v>
      </c>
      <c r="C12" s="5">
        <f t="shared" si="0"/>
        <v>40000</v>
      </c>
      <c r="D12" s="24">
        <v>20000</v>
      </c>
      <c r="E12" s="24">
        <v>20000</v>
      </c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</row>
    <row r="13" spans="1:23" x14ac:dyDescent="0.3">
      <c r="A13" s="3" t="s">
        <v>103</v>
      </c>
      <c r="B13" s="96" t="s">
        <v>11</v>
      </c>
      <c r="C13" s="5">
        <f t="shared" si="0"/>
        <v>40000</v>
      </c>
      <c r="D13" s="24">
        <v>20000</v>
      </c>
      <c r="E13" s="24">
        <v>20000</v>
      </c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</row>
    <row r="14" spans="1:23" x14ac:dyDescent="0.3">
      <c r="A14" s="3" t="s">
        <v>104</v>
      </c>
      <c r="B14" s="96" t="s">
        <v>11</v>
      </c>
      <c r="C14" s="5">
        <f t="shared" si="0"/>
        <v>40000</v>
      </c>
      <c r="D14" s="24">
        <v>20000</v>
      </c>
      <c r="E14" s="24">
        <v>20000</v>
      </c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</row>
    <row r="15" spans="1:23" x14ac:dyDescent="0.3">
      <c r="A15" s="3" t="s">
        <v>1</v>
      </c>
      <c r="B15" s="96" t="s">
        <v>11</v>
      </c>
      <c r="C15" s="5">
        <f t="shared" si="0"/>
        <v>40000</v>
      </c>
      <c r="D15" s="24">
        <v>20000</v>
      </c>
      <c r="E15" s="24">
        <v>20000</v>
      </c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</row>
    <row r="16" spans="1:23" x14ac:dyDescent="0.3">
      <c r="A16" s="3" t="s">
        <v>5</v>
      </c>
      <c r="B16" s="96" t="s">
        <v>11</v>
      </c>
      <c r="C16" s="5">
        <f t="shared" si="0"/>
        <v>40000</v>
      </c>
      <c r="D16" s="24">
        <v>20000</v>
      </c>
      <c r="E16" s="24">
        <v>20000</v>
      </c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</row>
    <row r="17" spans="1:23" x14ac:dyDescent="0.3">
      <c r="A17" s="3" t="s">
        <v>9</v>
      </c>
      <c r="B17" s="96" t="s">
        <v>11</v>
      </c>
      <c r="C17" s="5">
        <f t="shared" si="0"/>
        <v>40000</v>
      </c>
      <c r="D17" s="24">
        <v>20000</v>
      </c>
      <c r="E17" s="24">
        <v>20000</v>
      </c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</row>
    <row r="18" spans="1:23" x14ac:dyDescent="0.3">
      <c r="A18" s="3" t="s">
        <v>2</v>
      </c>
      <c r="B18" s="96" t="s">
        <v>11</v>
      </c>
      <c r="C18" s="5">
        <f t="shared" si="0"/>
        <v>40000</v>
      </c>
      <c r="D18" s="24">
        <v>20000</v>
      </c>
      <c r="E18" s="24">
        <v>20000</v>
      </c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</row>
    <row r="19" spans="1:23" x14ac:dyDescent="0.3">
      <c r="A19" s="3" t="s">
        <v>105</v>
      </c>
      <c r="B19" s="96" t="s">
        <v>11</v>
      </c>
      <c r="C19" s="5">
        <f t="shared" si="0"/>
        <v>40000</v>
      </c>
      <c r="D19" s="24">
        <v>20000</v>
      </c>
      <c r="E19" s="24">
        <v>20000</v>
      </c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</row>
    <row r="20" spans="1:23" x14ac:dyDescent="0.3">
      <c r="A20" s="3" t="s">
        <v>6</v>
      </c>
      <c r="B20" s="96" t="s">
        <v>11</v>
      </c>
      <c r="C20" s="5">
        <f t="shared" si="0"/>
        <v>40000</v>
      </c>
      <c r="D20" s="24">
        <v>20000</v>
      </c>
      <c r="E20" s="24">
        <v>20000</v>
      </c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</row>
    <row r="21" spans="1:23" x14ac:dyDescent="0.3">
      <c r="A21" s="3" t="s">
        <v>106</v>
      </c>
      <c r="B21" s="96" t="s">
        <v>11</v>
      </c>
      <c r="C21" s="5">
        <f t="shared" ref="C21:C42" si="1">SUM(D21:CD21)</f>
        <v>20000</v>
      </c>
      <c r="D21" s="24">
        <v>20000</v>
      </c>
      <c r="E21" s="24">
        <v>0</v>
      </c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</row>
    <row r="22" spans="1:23" x14ac:dyDescent="0.3">
      <c r="A22" s="3" t="s">
        <v>107</v>
      </c>
      <c r="B22" s="96" t="s">
        <v>11</v>
      </c>
      <c r="C22" s="5">
        <f t="shared" si="1"/>
        <v>40000</v>
      </c>
      <c r="D22" s="24">
        <v>20000</v>
      </c>
      <c r="E22" s="24">
        <v>20000</v>
      </c>
      <c r="F22" s="24"/>
      <c r="G22" s="24"/>
      <c r="H22" s="24"/>
      <c r="I22" s="24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</row>
    <row r="23" spans="1:23" x14ac:dyDescent="0.3">
      <c r="A23" s="3" t="s">
        <v>108</v>
      </c>
      <c r="B23" s="96" t="s">
        <v>11</v>
      </c>
      <c r="C23" s="5">
        <f t="shared" si="1"/>
        <v>40000</v>
      </c>
      <c r="D23" s="24">
        <v>20000</v>
      </c>
      <c r="E23" s="24">
        <v>20000</v>
      </c>
      <c r="F23" s="24"/>
      <c r="G23" s="24"/>
      <c r="H23" s="24"/>
      <c r="I23" s="24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</row>
    <row r="24" spans="1:23" x14ac:dyDescent="0.3">
      <c r="A24" s="3" t="s">
        <v>109</v>
      </c>
      <c r="B24" s="96" t="s">
        <v>11</v>
      </c>
      <c r="C24" s="5">
        <f t="shared" si="1"/>
        <v>20000</v>
      </c>
      <c r="D24" s="24">
        <v>20000</v>
      </c>
      <c r="E24" s="24">
        <v>0</v>
      </c>
      <c r="F24" s="24"/>
      <c r="G24" s="24"/>
      <c r="H24" s="24"/>
      <c r="I24" s="24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</row>
    <row r="25" spans="1:23" x14ac:dyDescent="0.3">
      <c r="A25" s="3" t="s">
        <v>0</v>
      </c>
      <c r="B25" s="96" t="s">
        <v>11</v>
      </c>
      <c r="C25" s="5">
        <f t="shared" si="1"/>
        <v>40000</v>
      </c>
      <c r="D25" s="24">
        <v>20000</v>
      </c>
      <c r="E25" s="24">
        <v>20000</v>
      </c>
      <c r="F25" s="24"/>
      <c r="G25" s="24"/>
      <c r="H25" s="24"/>
      <c r="I25" s="24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</row>
    <row r="26" spans="1:23" x14ac:dyDescent="0.3">
      <c r="A26" s="3" t="s">
        <v>110</v>
      </c>
      <c r="B26" s="96" t="s">
        <v>11</v>
      </c>
      <c r="C26" s="5">
        <f t="shared" si="1"/>
        <v>40000</v>
      </c>
      <c r="D26" s="24">
        <v>20000</v>
      </c>
      <c r="E26" s="24">
        <v>20000</v>
      </c>
      <c r="F26" s="24"/>
      <c r="G26" s="24"/>
      <c r="H26" s="24"/>
      <c r="I26" s="24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</row>
    <row r="27" spans="1:23" x14ac:dyDescent="0.3">
      <c r="A27" s="3" t="s">
        <v>111</v>
      </c>
      <c r="B27" s="96" t="s">
        <v>11</v>
      </c>
      <c r="C27" s="5">
        <f t="shared" si="1"/>
        <v>40000</v>
      </c>
      <c r="D27" s="24">
        <v>20000</v>
      </c>
      <c r="E27" s="24">
        <v>20000</v>
      </c>
      <c r="F27" s="24"/>
      <c r="G27" s="24"/>
      <c r="H27" s="24"/>
      <c r="I27" s="24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</row>
    <row r="28" spans="1:23" x14ac:dyDescent="0.3">
      <c r="A28" s="3" t="s">
        <v>112</v>
      </c>
      <c r="B28" s="96" t="s">
        <v>11</v>
      </c>
      <c r="C28" s="5">
        <f t="shared" si="1"/>
        <v>20000</v>
      </c>
      <c r="D28" s="24">
        <v>20000</v>
      </c>
      <c r="E28" s="24">
        <v>0</v>
      </c>
      <c r="F28" s="24"/>
      <c r="G28" s="24"/>
      <c r="H28" s="24"/>
      <c r="I28" s="24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</row>
    <row r="29" spans="1:23" x14ac:dyDescent="0.3">
      <c r="A29" s="3" t="s">
        <v>113</v>
      </c>
      <c r="B29" s="96" t="s">
        <v>11</v>
      </c>
      <c r="C29" s="5">
        <f t="shared" si="1"/>
        <v>40000</v>
      </c>
      <c r="D29" s="24">
        <v>20000</v>
      </c>
      <c r="E29" s="24">
        <v>20000</v>
      </c>
      <c r="F29" s="24"/>
      <c r="G29" s="24"/>
      <c r="H29" s="24"/>
      <c r="I29" s="24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</row>
    <row r="30" spans="1:23" x14ac:dyDescent="0.3">
      <c r="A30" s="3" t="s">
        <v>114</v>
      </c>
      <c r="B30" s="96" t="s">
        <v>11</v>
      </c>
      <c r="C30" s="5">
        <f t="shared" si="1"/>
        <v>40000</v>
      </c>
      <c r="D30" s="24">
        <v>20000</v>
      </c>
      <c r="E30" s="24">
        <v>20000</v>
      </c>
      <c r="F30" s="24"/>
      <c r="G30" s="24"/>
      <c r="H30" s="24"/>
      <c r="I30" s="24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</row>
    <row r="31" spans="1:23" x14ac:dyDescent="0.3">
      <c r="A31" s="3" t="s">
        <v>8</v>
      </c>
      <c r="B31" s="96" t="s">
        <v>11</v>
      </c>
      <c r="C31" s="5">
        <f t="shared" si="1"/>
        <v>40000</v>
      </c>
      <c r="D31" s="24">
        <v>20000</v>
      </c>
      <c r="E31" s="24">
        <v>20000</v>
      </c>
      <c r="F31" s="24"/>
      <c r="G31" s="24"/>
      <c r="H31" s="24"/>
      <c r="I31" s="24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</row>
    <row r="32" spans="1:23" x14ac:dyDescent="0.3">
      <c r="A32" s="3" t="s">
        <v>115</v>
      </c>
      <c r="B32" s="96" t="s">
        <v>11</v>
      </c>
      <c r="C32" s="5">
        <f t="shared" si="1"/>
        <v>20000</v>
      </c>
      <c r="D32" s="24">
        <v>20000</v>
      </c>
      <c r="E32" s="24">
        <v>0</v>
      </c>
      <c r="F32" s="24"/>
      <c r="G32" s="24"/>
      <c r="H32" s="24"/>
      <c r="I32" s="24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</row>
    <row r="33" spans="1:23" x14ac:dyDescent="0.3">
      <c r="A33" s="3" t="s">
        <v>116</v>
      </c>
      <c r="B33" s="100" t="s">
        <v>140</v>
      </c>
      <c r="C33" s="5">
        <f t="shared" si="1"/>
        <v>20000</v>
      </c>
      <c r="D33" s="24">
        <v>20000</v>
      </c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</row>
    <row r="34" spans="1:23" x14ac:dyDescent="0.3">
      <c r="A34" s="3" t="s">
        <v>117</v>
      </c>
      <c r="B34" s="96" t="s">
        <v>11</v>
      </c>
      <c r="C34" s="5">
        <f t="shared" si="1"/>
        <v>40000</v>
      </c>
      <c r="D34" s="24">
        <v>20000</v>
      </c>
      <c r="E34" s="24">
        <v>20000</v>
      </c>
      <c r="F34" s="24"/>
      <c r="G34" s="24"/>
      <c r="H34" s="24"/>
      <c r="I34" s="24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</row>
    <row r="35" spans="1:23" x14ac:dyDescent="0.3">
      <c r="A35" s="3" t="s">
        <v>7</v>
      </c>
      <c r="B35" s="96" t="s">
        <v>11</v>
      </c>
      <c r="C35" s="5">
        <f t="shared" si="1"/>
        <v>40000</v>
      </c>
      <c r="D35" s="24">
        <v>20000</v>
      </c>
      <c r="E35" s="24">
        <v>20000</v>
      </c>
      <c r="F35" s="24"/>
      <c r="G35" s="24"/>
      <c r="H35" s="24"/>
      <c r="I35" s="24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</row>
    <row r="36" spans="1:23" x14ac:dyDescent="0.3">
      <c r="A36" s="3" t="s">
        <v>118</v>
      </c>
      <c r="B36" s="96" t="s">
        <v>11</v>
      </c>
      <c r="C36" s="5">
        <f t="shared" si="1"/>
        <v>40000</v>
      </c>
      <c r="D36" s="24">
        <v>20000</v>
      </c>
      <c r="E36" s="24">
        <v>20000</v>
      </c>
      <c r="F36" s="24"/>
      <c r="G36" s="24"/>
      <c r="H36" s="24"/>
      <c r="I36" s="24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</row>
    <row r="37" spans="1:23" x14ac:dyDescent="0.3">
      <c r="A37" s="3" t="s">
        <v>119</v>
      </c>
      <c r="B37" s="96" t="s">
        <v>11</v>
      </c>
      <c r="C37" s="5">
        <f t="shared" si="1"/>
        <v>40000</v>
      </c>
      <c r="D37" s="24">
        <v>20000</v>
      </c>
      <c r="E37" s="24">
        <v>20000</v>
      </c>
      <c r="F37" s="24"/>
      <c r="G37" s="24"/>
      <c r="H37" s="24"/>
      <c r="I37" s="24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</row>
    <row r="38" spans="1:23" x14ac:dyDescent="0.3">
      <c r="A38" s="3" t="s">
        <v>120</v>
      </c>
      <c r="B38" s="96" t="s">
        <v>11</v>
      </c>
      <c r="C38" s="5">
        <f t="shared" si="1"/>
        <v>20000</v>
      </c>
      <c r="D38" s="24">
        <v>20000</v>
      </c>
      <c r="E38" s="24">
        <v>0</v>
      </c>
      <c r="F38" s="24"/>
      <c r="G38" s="24"/>
      <c r="H38" s="24"/>
      <c r="I38" s="24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</row>
    <row r="39" spans="1:23" x14ac:dyDescent="0.3">
      <c r="A39" s="3" t="s">
        <v>4</v>
      </c>
      <c r="B39" s="96" t="s">
        <v>11</v>
      </c>
      <c r="C39" s="5">
        <f t="shared" si="1"/>
        <v>40000</v>
      </c>
      <c r="D39" s="24">
        <v>20000</v>
      </c>
      <c r="E39" s="24">
        <v>20000</v>
      </c>
      <c r="F39" s="24"/>
      <c r="G39" s="24"/>
      <c r="H39" s="24"/>
      <c r="I39" s="24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</row>
    <row r="40" spans="1:23" x14ac:dyDescent="0.3">
      <c r="A40" s="3" t="s">
        <v>3</v>
      </c>
      <c r="B40" s="96" t="s">
        <v>11</v>
      </c>
      <c r="C40" s="5">
        <f t="shared" si="1"/>
        <v>40000</v>
      </c>
      <c r="D40" s="24">
        <v>20000</v>
      </c>
      <c r="E40" s="24">
        <v>20000</v>
      </c>
      <c r="F40" s="24"/>
      <c r="G40" s="24"/>
      <c r="H40" s="24"/>
      <c r="I40" s="24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</row>
    <row r="41" spans="1:23" x14ac:dyDescent="0.3">
      <c r="A41" s="3" t="s">
        <v>121</v>
      </c>
      <c r="B41" s="96" t="s">
        <v>11</v>
      </c>
      <c r="C41" s="5">
        <f t="shared" si="1"/>
        <v>20000</v>
      </c>
      <c r="D41" s="24">
        <v>20000</v>
      </c>
      <c r="E41" s="24">
        <v>0</v>
      </c>
      <c r="F41" s="24"/>
      <c r="G41" s="24"/>
      <c r="H41" s="24"/>
      <c r="I41" s="24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</row>
    <row r="42" spans="1:23" x14ac:dyDescent="0.3">
      <c r="A42" s="3" t="s">
        <v>122</v>
      </c>
      <c r="B42" s="96" t="s">
        <v>11</v>
      </c>
      <c r="C42" s="5">
        <f t="shared" si="1"/>
        <v>40000</v>
      </c>
      <c r="D42" s="24">
        <v>20000</v>
      </c>
      <c r="E42" s="24">
        <v>20000</v>
      </c>
      <c r="F42" s="24"/>
      <c r="G42" s="24"/>
      <c r="H42" s="24"/>
      <c r="I42" s="24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</row>
    <row r="43" spans="1:23" x14ac:dyDescent="0.3">
      <c r="A43" s="3" t="s">
        <v>139</v>
      </c>
      <c r="B43" s="96" t="s">
        <v>11</v>
      </c>
      <c r="C43" s="5">
        <f t="shared" ref="C43" si="2">SUM(D43:CD43)</f>
        <v>20000</v>
      </c>
      <c r="D43" s="98"/>
      <c r="E43" s="24">
        <v>20000</v>
      </c>
      <c r="F43" s="24"/>
      <c r="G43" s="24"/>
      <c r="H43" s="24"/>
      <c r="I43" s="24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</row>
    <row r="44" spans="1:23" ht="5.25" customHeight="1" x14ac:dyDescent="0.3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9"/>
      <c r="P44" s="99"/>
      <c r="Q44" s="99"/>
      <c r="R44" s="99"/>
      <c r="S44" s="99"/>
      <c r="T44" s="99"/>
      <c r="U44" s="99"/>
      <c r="V44" s="99"/>
      <c r="W44" s="99"/>
    </row>
    <row r="45" spans="1:23" x14ac:dyDescent="0.3">
      <c r="A45" s="1" t="s">
        <v>10</v>
      </c>
      <c r="B45" s="1"/>
      <c r="C45" s="5">
        <f>SUM(C2:C44)</f>
        <v>1520000</v>
      </c>
      <c r="D45" s="5">
        <f t="shared" ref="D45:W45" si="3">SUM(D2:D44)</f>
        <v>820000</v>
      </c>
      <c r="E45" s="5">
        <f t="shared" si="3"/>
        <v>700000</v>
      </c>
      <c r="F45" s="5">
        <f t="shared" si="3"/>
        <v>0</v>
      </c>
      <c r="G45" s="5">
        <f t="shared" si="3"/>
        <v>0</v>
      </c>
      <c r="H45" s="5">
        <f t="shared" si="3"/>
        <v>0</v>
      </c>
      <c r="I45" s="5">
        <f t="shared" si="3"/>
        <v>0</v>
      </c>
      <c r="J45" s="5">
        <f t="shared" si="3"/>
        <v>0</v>
      </c>
      <c r="K45" s="5">
        <f t="shared" si="3"/>
        <v>0</v>
      </c>
      <c r="L45" s="5">
        <f t="shared" si="3"/>
        <v>0</v>
      </c>
      <c r="M45" s="5">
        <f t="shared" si="3"/>
        <v>0</v>
      </c>
      <c r="N45" s="5">
        <f t="shared" si="3"/>
        <v>0</v>
      </c>
      <c r="O45" s="5">
        <f t="shared" si="3"/>
        <v>0</v>
      </c>
      <c r="P45" s="5">
        <f t="shared" si="3"/>
        <v>0</v>
      </c>
      <c r="Q45" s="5">
        <f t="shared" si="3"/>
        <v>0</v>
      </c>
      <c r="R45" s="5">
        <f t="shared" si="3"/>
        <v>0</v>
      </c>
      <c r="S45" s="5">
        <f t="shared" si="3"/>
        <v>0</v>
      </c>
      <c r="T45" s="5">
        <f t="shared" si="3"/>
        <v>0</v>
      </c>
      <c r="U45" s="5">
        <f t="shared" si="3"/>
        <v>0</v>
      </c>
      <c r="V45" s="5">
        <f t="shared" si="3"/>
        <v>0</v>
      </c>
      <c r="W45" s="5">
        <f t="shared" si="3"/>
        <v>0</v>
      </c>
    </row>
    <row r="46" spans="1:23" x14ac:dyDescent="0.3">
      <c r="A46" s="97"/>
    </row>
    <row r="47" spans="1:23" x14ac:dyDescent="0.3">
      <c r="A47" s="97"/>
    </row>
    <row r="48" spans="1:23" x14ac:dyDescent="0.3">
      <c r="A48" s="97"/>
    </row>
    <row r="49" spans="1:1" x14ac:dyDescent="0.3">
      <c r="A49" s="97"/>
    </row>
    <row r="50" spans="1:1" x14ac:dyDescent="0.3">
      <c r="A50" s="97"/>
    </row>
    <row r="51" spans="1:1" x14ac:dyDescent="0.3">
      <c r="A51" s="97"/>
    </row>
    <row r="52" spans="1:1" x14ac:dyDescent="0.3">
      <c r="A52" s="97"/>
    </row>
    <row r="53" spans="1:1" x14ac:dyDescent="0.3">
      <c r="A53" s="97"/>
    </row>
    <row r="54" spans="1:1" x14ac:dyDescent="0.3">
      <c r="A54" s="97"/>
    </row>
    <row r="55" spans="1:1" x14ac:dyDescent="0.3">
      <c r="A55" s="97"/>
    </row>
    <row r="56" spans="1:1" x14ac:dyDescent="0.3">
      <c r="A56" s="97"/>
    </row>
    <row r="57" spans="1:1" x14ac:dyDescent="0.3">
      <c r="A57" s="97"/>
    </row>
    <row r="58" spans="1:1" x14ac:dyDescent="0.3">
      <c r="A58" s="97"/>
    </row>
    <row r="59" spans="1:1" x14ac:dyDescent="0.3">
      <c r="A59" s="97"/>
    </row>
    <row r="60" spans="1:1" x14ac:dyDescent="0.3">
      <c r="A60" s="97"/>
    </row>
    <row r="61" spans="1:1" x14ac:dyDescent="0.3">
      <c r="A61" s="97"/>
    </row>
    <row r="62" spans="1:1" x14ac:dyDescent="0.3">
      <c r="A62" s="97"/>
    </row>
    <row r="63" spans="1:1" x14ac:dyDescent="0.3">
      <c r="A63" s="97"/>
    </row>
    <row r="64" spans="1:1" x14ac:dyDescent="0.3">
      <c r="A64" s="97"/>
    </row>
    <row r="65" spans="1:1" x14ac:dyDescent="0.3">
      <c r="A65" s="97"/>
    </row>
    <row r="66" spans="1:1" x14ac:dyDescent="0.3">
      <c r="A66" s="97"/>
    </row>
    <row r="67" spans="1:1" x14ac:dyDescent="0.3">
      <c r="A67" s="97"/>
    </row>
    <row r="68" spans="1:1" x14ac:dyDescent="0.3">
      <c r="A68" s="97"/>
    </row>
    <row r="69" spans="1:1" x14ac:dyDescent="0.3">
      <c r="A69" s="97"/>
    </row>
    <row r="70" spans="1:1" x14ac:dyDescent="0.3">
      <c r="A70" s="97"/>
    </row>
    <row r="71" spans="1:1" x14ac:dyDescent="0.3">
      <c r="A71" s="97"/>
    </row>
    <row r="72" spans="1:1" x14ac:dyDescent="0.3">
      <c r="A72" s="97"/>
    </row>
    <row r="73" spans="1:1" x14ac:dyDescent="0.3">
      <c r="A73" s="97"/>
    </row>
    <row r="74" spans="1:1" x14ac:dyDescent="0.3">
      <c r="A74" s="97"/>
    </row>
    <row r="75" spans="1:1" x14ac:dyDescent="0.3">
      <c r="A75" s="97"/>
    </row>
    <row r="76" spans="1:1" x14ac:dyDescent="0.3">
      <c r="A76" s="97"/>
    </row>
    <row r="77" spans="1:1" x14ac:dyDescent="0.3">
      <c r="A77" s="97"/>
    </row>
    <row r="78" spans="1:1" x14ac:dyDescent="0.3">
      <c r="A78" s="97"/>
    </row>
    <row r="79" spans="1:1" x14ac:dyDescent="0.3">
      <c r="A79" s="97"/>
    </row>
    <row r="80" spans="1:1" x14ac:dyDescent="0.3">
      <c r="A80" s="97"/>
    </row>
    <row r="81" spans="1:1" x14ac:dyDescent="0.3">
      <c r="A81" s="97"/>
    </row>
    <row r="82" spans="1:1" x14ac:dyDescent="0.3">
      <c r="A82" s="97"/>
    </row>
    <row r="83" spans="1:1" x14ac:dyDescent="0.3">
      <c r="A83" s="97"/>
    </row>
    <row r="84" spans="1:1" x14ac:dyDescent="0.3">
      <c r="A84" s="97"/>
    </row>
    <row r="85" spans="1:1" x14ac:dyDescent="0.3">
      <c r="A85" s="97"/>
    </row>
    <row r="86" spans="1:1" x14ac:dyDescent="0.3">
      <c r="A86" s="97"/>
    </row>
  </sheetData>
  <phoneticPr fontId="1" type="noConversion"/>
  <conditionalFormatting sqref="A2:A43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0"/>
  <sheetViews>
    <sheetView view="pageBreakPreview" zoomScale="115" zoomScaleNormal="85" zoomScaleSheetLayoutView="115" workbookViewId="0">
      <selection activeCell="F7" sqref="F7"/>
    </sheetView>
  </sheetViews>
  <sheetFormatPr defaultRowHeight="22.5" customHeight="1" x14ac:dyDescent="0.3"/>
  <cols>
    <col min="1" max="1" width="16.25" style="97" customWidth="1"/>
    <col min="2" max="2" width="0.5" style="97" customWidth="1"/>
    <col min="3" max="3" width="13.875" style="97" customWidth="1"/>
    <col min="4" max="4" width="14.75" style="97" customWidth="1"/>
    <col min="5" max="5" width="0.5" style="97" customWidth="1"/>
    <col min="6" max="6" width="13.375" style="97" customWidth="1"/>
    <col min="7" max="7" width="15" style="97" customWidth="1"/>
    <col min="8" max="8" width="0.5" style="97" customWidth="1"/>
    <col min="9" max="9" width="13.375" style="97" customWidth="1"/>
    <col min="10" max="10" width="16.25" style="97" customWidth="1"/>
  </cols>
  <sheetData>
    <row r="1" spans="1:10" ht="22.5" customHeight="1" x14ac:dyDescent="0.3">
      <c r="A1" s="17"/>
      <c r="B1" s="17"/>
      <c r="C1" s="18" t="str">
        <f ca="1">참고!$E$5</f>
        <v>26년 4월</v>
      </c>
      <c r="D1" s="17"/>
      <c r="E1" s="17"/>
      <c r="F1" s="18" t="str">
        <f ca="1">참고!$D$5</f>
        <v>26년 5월</v>
      </c>
      <c r="G1" s="17"/>
      <c r="H1" s="17"/>
      <c r="I1" s="17"/>
      <c r="J1" s="17"/>
    </row>
    <row r="2" spans="1:10" ht="52.15" customHeight="1" x14ac:dyDescent="0.3">
      <c r="A2" s="32" t="s">
        <v>47</v>
      </c>
      <c r="B2" s="44"/>
      <c r="C2" s="31" t="s">
        <v>48</v>
      </c>
      <c r="D2" s="32"/>
      <c r="E2" s="43"/>
      <c r="F2" s="33" t="s">
        <v>49</v>
      </c>
      <c r="G2" s="32"/>
      <c r="H2" s="43"/>
      <c r="I2" s="32" t="s">
        <v>43</v>
      </c>
      <c r="J2" s="32"/>
    </row>
    <row r="3" spans="1:10" ht="3" customHeight="1" x14ac:dyDescent="0.3">
      <c r="A3" s="47"/>
      <c r="B3" s="48"/>
      <c r="C3" s="49"/>
      <c r="D3" s="50"/>
      <c r="E3" s="51"/>
      <c r="F3" s="52"/>
      <c r="G3" s="47"/>
      <c r="H3" s="51"/>
      <c r="I3" s="47"/>
      <c r="J3" s="47"/>
    </row>
    <row r="4" spans="1:10" ht="40.15" customHeight="1" x14ac:dyDescent="0.3">
      <c r="A4" s="38" t="s">
        <v>50</v>
      </c>
      <c r="B4" s="39"/>
      <c r="C4" s="30"/>
      <c r="D4" s="34">
        <f ca="1">SUM(C5:C7)</f>
        <v>0</v>
      </c>
      <c r="E4" s="39"/>
      <c r="F4" s="35"/>
      <c r="G4" s="36">
        <f ca="1">SUM(F5:F7)</f>
        <v>820027</v>
      </c>
      <c r="H4" s="39"/>
      <c r="I4" s="36"/>
      <c r="J4" s="36">
        <f>SUM(I5:I7)</f>
        <v>1520027</v>
      </c>
    </row>
    <row r="5" spans="1:10" ht="28.15" customHeight="1" x14ac:dyDescent="0.3">
      <c r="A5" s="46" t="s">
        <v>51</v>
      </c>
      <c r="B5" s="40"/>
      <c r="C5" s="28">
        <f ca="1">SUMIFS(원장!$H:$H,원장!$E:$E,회비입출내역!$A5,원장!$A:$A,회비입출내역!$C$1)</f>
        <v>0</v>
      </c>
      <c r="D5" s="29"/>
      <c r="E5" s="40"/>
      <c r="F5" s="27">
        <f ca="1">SUMIFS(원장!$H:$H,원장!$E:$E,회비입출내역!$A5,원장!$A:$A,회비입출내역!$F$1)</f>
        <v>820000</v>
      </c>
      <c r="G5" s="20"/>
      <c r="H5" s="40"/>
      <c r="I5" s="19">
        <f>SUMIFS(원장!$H:$H,원장!$E:$E,회비입출내역!$A5)</f>
        <v>1520000</v>
      </c>
      <c r="J5" s="20"/>
    </row>
    <row r="6" spans="1:10" ht="28.15" customHeight="1" x14ac:dyDescent="0.3">
      <c r="A6" s="46" t="s">
        <v>52</v>
      </c>
      <c r="B6" s="40"/>
      <c r="C6" s="28">
        <f ca="1">SUMIFS(원장!$H:$H,원장!$E:$E,회비입출내역!$A6,원장!$A:$A,회비입출내역!$C$1)</f>
        <v>0</v>
      </c>
      <c r="D6" s="29"/>
      <c r="E6" s="40"/>
      <c r="F6" s="27">
        <f ca="1">SUMIFS(원장!$H:$H,원장!$E:$E,회비입출내역!$A6,원장!$A:$A,회비입출내역!$F$1)</f>
        <v>0</v>
      </c>
      <c r="G6" s="20"/>
      <c r="H6" s="40"/>
      <c r="I6" s="19">
        <f>SUMIFS(원장!$H:$H,원장!$E:$E,회비입출내역!$A6)</f>
        <v>0</v>
      </c>
      <c r="J6" s="20"/>
    </row>
    <row r="7" spans="1:10" ht="28.15" customHeight="1" x14ac:dyDescent="0.3">
      <c r="A7" s="46" t="s">
        <v>53</v>
      </c>
      <c r="B7" s="40"/>
      <c r="C7" s="28">
        <f ca="1">SUMIFS(원장!$H:$H,원장!$E:$E,회비입출내역!$A7,원장!$A:$A,회비입출내역!$C$1)</f>
        <v>0</v>
      </c>
      <c r="D7" s="29"/>
      <c r="E7" s="40"/>
      <c r="F7" s="27">
        <f ca="1">SUMIFS(원장!$H:$H,원장!$E:$E,회비입출내역!$A7,원장!$A:$A,회비입출내역!$F$1)</f>
        <v>27</v>
      </c>
      <c r="G7" s="20"/>
      <c r="H7" s="40"/>
      <c r="I7" s="19">
        <f>SUMIFS(원장!$H:$H,원장!$E:$E,회비입출내역!$A7)</f>
        <v>27</v>
      </c>
      <c r="J7" s="20"/>
    </row>
    <row r="8" spans="1:10" ht="3" customHeight="1" x14ac:dyDescent="0.3">
      <c r="A8" s="47"/>
      <c r="B8" s="48"/>
      <c r="C8" s="49"/>
      <c r="D8" s="50"/>
      <c r="E8" s="51"/>
      <c r="F8" s="52"/>
      <c r="G8" s="47"/>
      <c r="H8" s="51"/>
      <c r="I8" s="47"/>
      <c r="J8" s="47"/>
    </row>
    <row r="9" spans="1:10" ht="40.15" customHeight="1" x14ac:dyDescent="0.3">
      <c r="A9" s="38" t="s">
        <v>54</v>
      </c>
      <c r="B9" s="39"/>
      <c r="C9" s="26"/>
      <c r="D9" s="34">
        <f ca="1">SUM(C10:C15)</f>
        <v>0</v>
      </c>
      <c r="E9" s="39"/>
      <c r="F9" s="37"/>
      <c r="G9" s="36">
        <f ca="1">SUM(F10:F15)</f>
        <v>-504900</v>
      </c>
      <c r="H9" s="39"/>
      <c r="I9" s="38"/>
      <c r="J9" s="36">
        <f>SUM(I10:I15)</f>
        <v>-504900</v>
      </c>
    </row>
    <row r="10" spans="1:10" ht="28.15" customHeight="1" x14ac:dyDescent="0.3">
      <c r="A10" s="46" t="s">
        <v>55</v>
      </c>
      <c r="B10" s="45"/>
      <c r="C10" s="19">
        <f ca="1">SUMIFS(원장!$H:$H,원장!$E:$E,회비입출내역!$A10,원장!$A:$A,회비입출내역!$C$1)</f>
        <v>0</v>
      </c>
      <c r="D10" s="19"/>
      <c r="E10" s="41"/>
      <c r="F10" s="27">
        <f ca="1">SUMIFS(원장!$H:$H,원장!$E:$E,회비입출내역!$A10,원장!$A:$A,회비입출내역!$F$1)</f>
        <v>-504900</v>
      </c>
      <c r="G10" s="19"/>
      <c r="H10" s="41"/>
      <c r="I10" s="19">
        <f>SUMIFS(원장!$H:$H,원장!$E:$E,회비입출내역!$A10)</f>
        <v>-504900</v>
      </c>
      <c r="J10" s="19"/>
    </row>
    <row r="11" spans="1:10" ht="28.15" customHeight="1" x14ac:dyDescent="0.3">
      <c r="A11" s="46" t="s">
        <v>56</v>
      </c>
      <c r="B11" s="45"/>
      <c r="C11" s="19">
        <f ca="1">SUMIFS(원장!$H:$H,원장!$E:$E,회비입출내역!$A11,원장!$A:$A,회비입출내역!$C$1)</f>
        <v>0</v>
      </c>
      <c r="D11" s="19"/>
      <c r="E11" s="41"/>
      <c r="F11" s="27">
        <f ca="1">SUMIFS(원장!$H:$H,원장!$E:$E,회비입출내역!$A11,원장!$A:$A,회비입출내역!$F$1)</f>
        <v>0</v>
      </c>
      <c r="G11" s="19"/>
      <c r="H11" s="41"/>
      <c r="I11" s="19">
        <f>SUMIFS(원장!$H:$H,원장!$E:$E,회비입출내역!$A11)</f>
        <v>0</v>
      </c>
      <c r="J11" s="19"/>
    </row>
    <row r="12" spans="1:10" ht="28.15" customHeight="1" x14ac:dyDescent="0.3">
      <c r="A12" s="46" t="s">
        <v>57</v>
      </c>
      <c r="B12" s="42"/>
      <c r="C12" s="28">
        <f ca="1">SUMIFS(원장!$H:$H,원장!$E:$E,회비입출내역!$A12,원장!$A:$A,회비입출내역!$C$1)</f>
        <v>0</v>
      </c>
      <c r="D12" s="21"/>
      <c r="E12" s="42"/>
      <c r="F12" s="27">
        <f ca="1">SUMIFS(원장!$H:$H,원장!$E:$E,회비입출내역!$A12,원장!$A:$A,회비입출내역!$F$1)</f>
        <v>0</v>
      </c>
      <c r="G12" s="21"/>
      <c r="H12" s="42"/>
      <c r="I12" s="19">
        <f>SUMIFS(원장!$H:$H,원장!$E:$E,회비입출내역!$A12)</f>
        <v>0</v>
      </c>
      <c r="J12" s="21"/>
    </row>
    <row r="13" spans="1:10" ht="28.15" customHeight="1" x14ac:dyDescent="0.3">
      <c r="A13" s="46" t="s">
        <v>58</v>
      </c>
      <c r="B13" s="65"/>
      <c r="C13" s="28">
        <f ca="1">SUMIFS(원장!$H:$H,원장!$E:$E,회비입출내역!$A13,원장!$A:$A,회비입출내역!$C$1)</f>
        <v>0</v>
      </c>
      <c r="D13" s="21"/>
      <c r="E13" s="42"/>
      <c r="F13" s="27">
        <f ca="1">SUMIFS(원장!$H:$H,원장!$E:$E,회비입출내역!$A13,원장!$A:$A,회비입출내역!$F$1)</f>
        <v>0</v>
      </c>
      <c r="G13" s="21"/>
      <c r="H13" s="42"/>
      <c r="I13" s="19">
        <f>SUMIFS(원장!$H:$H,원장!$E:$E,회비입출내역!$A13)</f>
        <v>0</v>
      </c>
      <c r="J13" s="21"/>
    </row>
    <row r="14" spans="1:10" ht="3" customHeight="1" x14ac:dyDescent="0.3">
      <c r="A14" s="47"/>
      <c r="B14" s="48"/>
      <c r="C14" s="49"/>
      <c r="D14" s="50"/>
      <c r="E14" s="51"/>
      <c r="F14" s="52"/>
      <c r="G14" s="47"/>
      <c r="H14" s="51"/>
      <c r="I14" s="47"/>
      <c r="J14" s="47"/>
    </row>
    <row r="15" spans="1:10" ht="40.15" customHeight="1" x14ac:dyDescent="0.3">
      <c r="A15" s="38" t="s">
        <v>59</v>
      </c>
      <c r="B15" s="39"/>
      <c r="C15" s="26"/>
      <c r="D15" s="34">
        <f ca="1">SUM(D4:D13)</f>
        <v>0</v>
      </c>
      <c r="E15" s="39"/>
      <c r="F15" s="37"/>
      <c r="G15" s="36">
        <f ca="1">SUM(G4:G13)</f>
        <v>315127</v>
      </c>
      <c r="H15" s="39"/>
      <c r="I15" s="38"/>
      <c r="J15" s="36">
        <f>SUM(J4:J13)</f>
        <v>1015127</v>
      </c>
    </row>
    <row r="16" spans="1:10" ht="22.5" customHeight="1" x14ac:dyDescent="0.3">
      <c r="A16" s="17"/>
      <c r="B16" s="17"/>
      <c r="C16" s="17"/>
      <c r="D16" s="17"/>
      <c r="E16" s="17"/>
      <c r="F16" s="17"/>
      <c r="G16" s="17"/>
      <c r="H16" s="17"/>
      <c r="I16" s="22" t="s">
        <v>91</v>
      </c>
      <c r="J16" s="23">
        <v>1015127</v>
      </c>
    </row>
    <row r="17" spans="1:10" ht="22.5" customHeight="1" x14ac:dyDescent="0.3">
      <c r="A17" s="17"/>
      <c r="B17" s="17"/>
      <c r="C17" s="17"/>
      <c r="D17" s="17"/>
      <c r="E17" s="17"/>
      <c r="F17" s="17"/>
      <c r="G17" s="17"/>
      <c r="H17" s="17"/>
      <c r="I17" s="23"/>
      <c r="J17" t="b">
        <f>J16=J15</f>
        <v>1</v>
      </c>
    </row>
    <row r="18" spans="1:10" ht="22.5" customHeight="1" x14ac:dyDescent="0.3">
      <c r="J18" s="23">
        <f>J15-J16</f>
        <v>0</v>
      </c>
    </row>
    <row r="27" spans="1:10" ht="22.5" customHeight="1" x14ac:dyDescent="0.3">
      <c r="B27" s="6"/>
      <c r="D27" s="6"/>
      <c r="E27" s="6"/>
      <c r="G27" s="6"/>
      <c r="H27" s="6"/>
      <c r="I27" s="6"/>
    </row>
    <row r="28" spans="1:10" ht="22.5" customHeight="1" x14ac:dyDescent="0.3">
      <c r="B28" s="6"/>
      <c r="D28" s="6"/>
      <c r="E28" s="6"/>
      <c r="G28" s="6"/>
      <c r="H28" s="6"/>
      <c r="I28" s="6"/>
    </row>
    <row r="29" spans="1:10" ht="22.5" customHeight="1" x14ac:dyDescent="0.3">
      <c r="B29" s="6"/>
      <c r="D29" s="6"/>
      <c r="E29" s="6"/>
      <c r="G29" s="6"/>
      <c r="H29" s="6"/>
      <c r="I29" s="6"/>
    </row>
    <row r="30" spans="1:10" ht="22.5" customHeight="1" x14ac:dyDescent="0.3">
      <c r="B30" s="6"/>
      <c r="D30" s="6"/>
      <c r="E30" s="6"/>
      <c r="G30" s="6"/>
      <c r="H30" s="6"/>
      <c r="I30" s="6"/>
    </row>
  </sheetData>
  <phoneticPr fontId="1" type="noConversion"/>
  <conditionalFormatting sqref="J17">
    <cfRule type="cellIs" dxfId="0" priority="1" operator="equal">
      <formula>TRUE</formula>
    </cfRule>
  </conditionalFormatting>
  <pageMargins left="0.7" right="0.7" top="0.75" bottom="0.75" header="0.3" footer="0.3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2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8" sqref="G8"/>
    </sheetView>
  </sheetViews>
  <sheetFormatPr defaultRowHeight="16.5" x14ac:dyDescent="0.3"/>
  <cols>
    <col min="1" max="1" width="13.25" style="97" customWidth="1"/>
    <col min="2" max="2" width="8.75" style="97" customWidth="1"/>
    <col min="3" max="8" width="13.25" style="97" customWidth="1"/>
    <col min="9" max="9" width="25.875" style="97" customWidth="1"/>
    <col min="10" max="10" width="9.375" style="97" bestFit="1" customWidth="1"/>
    <col min="11" max="11" width="11" style="97" customWidth="1"/>
  </cols>
  <sheetData>
    <row r="1" spans="1:9" ht="17.25" customHeight="1" thickBot="1" x14ac:dyDescent="0.35">
      <c r="A1" s="7" t="s">
        <v>60</v>
      </c>
      <c r="B1" s="7" t="s">
        <v>61</v>
      </c>
      <c r="C1" s="10" t="s">
        <v>62</v>
      </c>
      <c r="D1" s="10" t="s">
        <v>63</v>
      </c>
      <c r="E1" s="10" t="s">
        <v>64</v>
      </c>
      <c r="F1" s="10" t="s">
        <v>65</v>
      </c>
      <c r="G1" s="10" t="s">
        <v>66</v>
      </c>
      <c r="H1" s="7" t="s">
        <v>67</v>
      </c>
      <c r="I1" s="10" t="s">
        <v>68</v>
      </c>
    </row>
    <row r="2" spans="1:9" ht="17.25" customHeight="1" thickTop="1" x14ac:dyDescent="0.3">
      <c r="A2" s="8" t="s">
        <v>69</v>
      </c>
      <c r="B2" s="8" t="s">
        <v>69</v>
      </c>
      <c r="C2" s="11" t="s">
        <v>70</v>
      </c>
      <c r="D2" s="11" t="s">
        <v>70</v>
      </c>
      <c r="E2" s="11" t="s">
        <v>70</v>
      </c>
      <c r="F2" s="11" t="s">
        <v>70</v>
      </c>
      <c r="G2" s="11" t="s">
        <v>70</v>
      </c>
      <c r="H2" s="8" t="s">
        <v>69</v>
      </c>
      <c r="I2" s="11" t="s">
        <v>70</v>
      </c>
    </row>
    <row r="3" spans="1:9" x14ac:dyDescent="0.3">
      <c r="A3" s="9" t="str">
        <f t="shared" ref="A3:A5" si="0">RIGHT(YEAR(C3),2)&amp;"년 "&amp;MONTH(C3)&amp;"월"</f>
        <v>26년 5월</v>
      </c>
      <c r="B3" s="9" t="str">
        <f>VLOOKUP(WEEKDAY(C3,2),참조!$A$1:$B$10,2,)</f>
        <v>금</v>
      </c>
      <c r="C3" s="13">
        <v>46143</v>
      </c>
      <c r="D3" s="13" t="s">
        <v>71</v>
      </c>
      <c r="E3" s="13" t="s">
        <v>51</v>
      </c>
      <c r="F3" s="14"/>
      <c r="G3" s="14">
        <f>SUMIFS(입금현황!$45:$45,입금현황!$1:$1,원장!$A3)</f>
        <v>820000</v>
      </c>
      <c r="H3" s="16">
        <f t="shared" ref="H3:H4" si="1">G3-F3</f>
        <v>820000</v>
      </c>
      <c r="I3" s="15" t="s">
        <v>72</v>
      </c>
    </row>
    <row r="4" spans="1:9" x14ac:dyDescent="0.3">
      <c r="A4" s="9" t="str">
        <f t="shared" ref="A4" si="2">RIGHT(YEAR(C4),2)&amp;"년 "&amp;MONTH(C4)&amp;"월"</f>
        <v>26년 5월</v>
      </c>
      <c r="B4" s="9" t="str">
        <f>VLOOKUP(WEEKDAY(C4,2),참조!$A$1:$B$10,2,)</f>
        <v>일</v>
      </c>
      <c r="C4" s="13">
        <v>46173</v>
      </c>
      <c r="D4" s="13" t="s">
        <v>71</v>
      </c>
      <c r="E4" s="13" t="s">
        <v>53</v>
      </c>
      <c r="F4" s="14"/>
      <c r="G4" s="14">
        <v>27</v>
      </c>
      <c r="H4" s="16">
        <f t="shared" si="1"/>
        <v>27</v>
      </c>
      <c r="I4" s="15" t="s">
        <v>74</v>
      </c>
    </row>
    <row r="5" spans="1:9" x14ac:dyDescent="0.3">
      <c r="A5" s="9" t="str">
        <f t="shared" si="0"/>
        <v>26년 5월</v>
      </c>
      <c r="B5" s="9" t="str">
        <f>VLOOKUP(WEEKDAY(C5,2),참조!$A$1:$B$10,2,)</f>
        <v>일</v>
      </c>
      <c r="C5" s="13">
        <v>46159</v>
      </c>
      <c r="D5" s="13" t="s">
        <v>73</v>
      </c>
      <c r="E5" s="13" t="s">
        <v>55</v>
      </c>
      <c r="F5" s="14">
        <v>410600</v>
      </c>
      <c r="G5" s="14"/>
      <c r="H5" s="16">
        <f t="shared" ref="H5" si="3">G5-F5</f>
        <v>-410600</v>
      </c>
      <c r="I5" s="15" t="s">
        <v>137</v>
      </c>
    </row>
    <row r="6" spans="1:9" x14ac:dyDescent="0.3">
      <c r="A6" s="9" t="str">
        <f t="shared" ref="A6:A12" si="4">RIGHT(YEAR(C6),2)&amp;"년 "&amp;MONTH(C6)&amp;"월"</f>
        <v>26년 6월</v>
      </c>
      <c r="B6" s="9" t="str">
        <f>VLOOKUP(WEEKDAY(C6,2),참조!$A$1:$B$10,2,)</f>
        <v>월</v>
      </c>
      <c r="C6" s="13">
        <v>46174</v>
      </c>
      <c r="D6" s="13" t="s">
        <v>71</v>
      </c>
      <c r="E6" s="13" t="s">
        <v>51</v>
      </c>
      <c r="F6" s="14"/>
      <c r="G6" s="14">
        <f>SUMIFS(입금현황!$45:$45,입금현황!$1:$1,원장!$A6)</f>
        <v>700000</v>
      </c>
      <c r="H6" s="16">
        <f t="shared" ref="H6:H12" si="5">G6-F6</f>
        <v>700000</v>
      </c>
      <c r="I6" s="15" t="s">
        <v>72</v>
      </c>
    </row>
    <row r="7" spans="1:9" x14ac:dyDescent="0.3">
      <c r="A7" s="9" t="str">
        <f t="shared" si="4"/>
        <v>26년 5월</v>
      </c>
      <c r="B7" s="9" t="str">
        <f>VLOOKUP(WEEKDAY(C7,2),참조!$A$1:$B$10,2,)</f>
        <v>일</v>
      </c>
      <c r="C7" s="13">
        <v>46159</v>
      </c>
      <c r="D7" s="13" t="s">
        <v>73</v>
      </c>
      <c r="E7" s="13" t="s">
        <v>55</v>
      </c>
      <c r="F7" s="14">
        <v>94300</v>
      </c>
      <c r="G7" s="14"/>
      <c r="H7" s="16">
        <f t="shared" si="5"/>
        <v>-94300</v>
      </c>
      <c r="I7" s="15" t="s">
        <v>138</v>
      </c>
    </row>
    <row r="8" spans="1:9" x14ac:dyDescent="0.3">
      <c r="A8" s="9" t="str">
        <f t="shared" si="4"/>
        <v>26년 8월</v>
      </c>
      <c r="B8" s="9" t="str">
        <f>VLOOKUP(WEEKDAY(C8,2),참조!$A$1:$B$10,2,)</f>
        <v>토</v>
      </c>
      <c r="C8" s="13">
        <v>46235</v>
      </c>
      <c r="D8" s="13" t="s">
        <v>71</v>
      </c>
      <c r="E8" s="13" t="s">
        <v>51</v>
      </c>
      <c r="F8" s="14"/>
      <c r="G8" s="14">
        <f>SUMIFS(입금현황!$45:$45,입금현황!$1:$1,원장!$A8)</f>
        <v>0</v>
      </c>
      <c r="H8" s="16">
        <f t="shared" si="5"/>
        <v>0</v>
      </c>
      <c r="I8" s="15" t="s">
        <v>72</v>
      </c>
    </row>
    <row r="9" spans="1:9" x14ac:dyDescent="0.3">
      <c r="A9" s="9" t="str">
        <f t="shared" si="4"/>
        <v>26년 9월</v>
      </c>
      <c r="B9" s="9" t="str">
        <f>VLOOKUP(WEEKDAY(C9,2),참조!$A$1:$B$10,2,)</f>
        <v>화</v>
      </c>
      <c r="C9" s="13">
        <v>46266</v>
      </c>
      <c r="D9" s="13" t="s">
        <v>71</v>
      </c>
      <c r="E9" s="13" t="s">
        <v>51</v>
      </c>
      <c r="F9" s="14"/>
      <c r="G9" s="14">
        <f>SUMIFS(입금현황!$45:$45,입금현황!$1:$1,원장!$A9)</f>
        <v>0</v>
      </c>
      <c r="H9" s="16">
        <f t="shared" si="5"/>
        <v>0</v>
      </c>
      <c r="I9" s="15" t="s">
        <v>72</v>
      </c>
    </row>
    <row r="10" spans="1:9" x14ac:dyDescent="0.3">
      <c r="A10" s="9" t="str">
        <f t="shared" si="4"/>
        <v>26년 10월</v>
      </c>
      <c r="B10" s="9" t="str">
        <f>VLOOKUP(WEEKDAY(C10,2),참조!$A$1:$B$10,2,)</f>
        <v>목</v>
      </c>
      <c r="C10" s="13">
        <v>46296</v>
      </c>
      <c r="D10" s="13" t="s">
        <v>71</v>
      </c>
      <c r="E10" s="13" t="s">
        <v>51</v>
      </c>
      <c r="F10" s="14"/>
      <c r="G10" s="14">
        <f>SUMIFS(입금현황!$45:$45,입금현황!$1:$1,원장!$A10)</f>
        <v>0</v>
      </c>
      <c r="H10" s="16">
        <f t="shared" si="5"/>
        <v>0</v>
      </c>
      <c r="I10" s="15" t="s">
        <v>72</v>
      </c>
    </row>
    <row r="11" spans="1:9" x14ac:dyDescent="0.3">
      <c r="A11" s="9" t="str">
        <f t="shared" si="4"/>
        <v>26년 11월</v>
      </c>
      <c r="B11" s="9" t="str">
        <f>VLOOKUP(WEEKDAY(C11,2),참조!$A$1:$B$10,2,)</f>
        <v>일</v>
      </c>
      <c r="C11" s="13">
        <v>46327</v>
      </c>
      <c r="D11" s="13" t="s">
        <v>71</v>
      </c>
      <c r="E11" s="13" t="s">
        <v>51</v>
      </c>
      <c r="F11" s="14"/>
      <c r="G11" s="14">
        <f>SUMIFS(입금현황!$45:$45,입금현황!$1:$1,원장!$A11)</f>
        <v>0</v>
      </c>
      <c r="H11" s="16">
        <f t="shared" si="5"/>
        <v>0</v>
      </c>
      <c r="I11" s="15" t="s">
        <v>72</v>
      </c>
    </row>
    <row r="12" spans="1:9" x14ac:dyDescent="0.3">
      <c r="A12" s="9" t="str">
        <f t="shared" si="4"/>
        <v>26년 12월</v>
      </c>
      <c r="B12" s="9" t="str">
        <f>VLOOKUP(WEEKDAY(C12,2),참조!$A$1:$B$10,2,)</f>
        <v>화</v>
      </c>
      <c r="C12" s="13">
        <v>46357</v>
      </c>
      <c r="D12" s="13" t="s">
        <v>71</v>
      </c>
      <c r="E12" s="13" t="s">
        <v>51</v>
      </c>
      <c r="F12" s="14"/>
      <c r="G12" s="14">
        <f>SUMIFS(입금현황!$45:$45,입금현황!$1:$1,원장!$A12)</f>
        <v>0</v>
      </c>
      <c r="H12" s="16">
        <f t="shared" si="5"/>
        <v>0</v>
      </c>
      <c r="I12" s="15" t="s">
        <v>72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32" sqref="B32:S36"/>
    </sheetView>
  </sheetViews>
  <sheetFormatPr defaultRowHeight="16.5" customHeight="1" x14ac:dyDescent="0.3"/>
  <cols>
    <col min="1" max="1" width="2.375" style="97" customWidth="1"/>
    <col min="2" max="19" width="12.25" style="97" customWidth="1"/>
  </cols>
  <sheetData>
    <row r="2" spans="1:19" ht="27.75" customHeight="1" x14ac:dyDescent="0.3">
      <c r="B2" s="57" t="s">
        <v>60</v>
      </c>
      <c r="C2" s="57" t="s">
        <v>75</v>
      </c>
      <c r="D2" s="60" t="s">
        <v>71</v>
      </c>
      <c r="E2" s="60"/>
      <c r="F2" s="60"/>
      <c r="G2" s="60"/>
      <c r="H2" s="60" t="s">
        <v>73</v>
      </c>
      <c r="I2" s="60"/>
      <c r="J2" s="60"/>
      <c r="K2" s="60"/>
      <c r="L2" s="60"/>
    </row>
    <row r="3" spans="1:19" ht="27.75" customHeight="1" x14ac:dyDescent="0.3">
      <c r="B3" s="57" t="s">
        <v>60</v>
      </c>
      <c r="C3" s="57" t="s">
        <v>75</v>
      </c>
      <c r="D3" s="54" t="s">
        <v>51</v>
      </c>
      <c r="E3" s="54" t="s">
        <v>52</v>
      </c>
      <c r="F3" s="54" t="s">
        <v>53</v>
      </c>
      <c r="G3" s="54" t="s">
        <v>10</v>
      </c>
      <c r="H3" s="54" t="s">
        <v>55</v>
      </c>
      <c r="I3" s="54" t="s">
        <v>56</v>
      </c>
      <c r="J3" s="54" t="s">
        <v>57</v>
      </c>
      <c r="K3" s="54" t="s">
        <v>58</v>
      </c>
      <c r="L3" s="54" t="s">
        <v>10</v>
      </c>
    </row>
    <row r="4" spans="1:19" ht="27.75" customHeight="1" x14ac:dyDescent="0.3">
      <c r="B4" s="55" t="s">
        <v>76</v>
      </c>
      <c r="C4" s="55"/>
      <c r="D4" s="59" t="e">
        <f>AVERAGEIFS(D10:D2203,D10:D2203,"&gt;0")</f>
        <v>#DIV/0!</v>
      </c>
      <c r="E4" s="59" t="e">
        <f>AVERAGEIFS(E10:E2203,E10:E2203,"&gt;0")</f>
        <v>#DIV/0!</v>
      </c>
      <c r="F4" s="59" t="e">
        <f>AVERAGEIFS(F10:F2203,F10:F2203,"&gt;0")</f>
        <v>#DIV/0!</v>
      </c>
      <c r="G4" s="59" t="e">
        <f>AVERAGEIFS(G10:G2203,G10:G2203,"&gt;0")</f>
        <v>#DIV/0!</v>
      </c>
      <c r="H4" s="59" t="e">
        <f>AVERAGEIFS(H10:H2203,H10:H2203,"&lt;0")</f>
        <v>#DIV/0!</v>
      </c>
      <c r="I4" s="68" t="e">
        <f>AVERAGEIFS(I10:I2203,I10:I2203,"&lt;0")</f>
        <v>#DIV/0!</v>
      </c>
      <c r="J4" s="68" t="e">
        <f>AVERAGEIFS(J10:J2203,J10:J2203,"&lt;0")</f>
        <v>#DIV/0!</v>
      </c>
      <c r="K4" s="68" t="e">
        <f>AVERAGEIFS(K10:K2203,K10:K2203,"&lt;0")</f>
        <v>#DIV/0!</v>
      </c>
      <c r="L4" s="68" t="e">
        <f>AVERAGEIFS(L10:L2203,L10:L2203,"&lt;0")</f>
        <v>#DIV/0!</v>
      </c>
    </row>
    <row r="5" spans="1:19" ht="27.75" customHeight="1" x14ac:dyDescent="0.3">
      <c r="A5" s="53">
        <v>3</v>
      </c>
      <c r="B5" s="69" t="s">
        <v>77</v>
      </c>
      <c r="C5" s="55"/>
      <c r="D5" s="59">
        <f ca="1">AVERAGEIFS(D8:D2201,$C$10:$C$2203,"&lt;=3")</f>
        <v>0</v>
      </c>
      <c r="E5" s="59">
        <f ca="1">AVERAGEIFS(E8:E2201,$C$10:$C$2203,"&lt;=3")</f>
        <v>0</v>
      </c>
      <c r="F5" s="59">
        <f ca="1">AVERAGEIFS(F8:F2201,$C$10:$C$2203,"&lt;=3")</f>
        <v>0</v>
      </c>
      <c r="G5" s="70">
        <f ca="1">AVERAGEIFS(G8:G2201,$C$10:$C$2203,"&lt;=3")</f>
        <v>0</v>
      </c>
      <c r="H5" s="59">
        <f ca="1">AVERAGEIFS(H$10:H$2203,$C$10:$C$2203,"&lt;=3")</f>
        <v>0</v>
      </c>
      <c r="I5" s="59">
        <f ca="1">AVERAGEIFS(I$10:I$2203,$C$10:$C$2203,"&lt;=3")</f>
        <v>0</v>
      </c>
      <c r="J5" s="59">
        <f ca="1">AVERAGEIFS(J$10:J$2203,$C$10:$C$2203,"&lt;=3")</f>
        <v>0</v>
      </c>
      <c r="K5" s="59">
        <f ca="1">AVERAGEIFS(K$10:K$2203,$C$10:$C$2203,"&lt;=3")</f>
        <v>0</v>
      </c>
      <c r="L5" s="71">
        <f ca="1">AVERAGEIFS(L$10:L$2203,$C$10:$C$2203,"&lt;=3")</f>
        <v>0</v>
      </c>
    </row>
    <row r="6" spans="1:19" ht="27.75" customHeight="1" x14ac:dyDescent="0.3">
      <c r="A6" s="53">
        <v>6</v>
      </c>
      <c r="B6" s="69" t="s">
        <v>78</v>
      </c>
      <c r="C6" s="55"/>
      <c r="D6" s="59">
        <f ca="1">AVERAGEIFS(D9:D2202,$C$10:$C$2203,"&lt;=6")</f>
        <v>0</v>
      </c>
      <c r="E6" s="59">
        <f ca="1">AVERAGEIFS(E9:E2202,$C$10:$C$2203,"&lt;=6")</f>
        <v>0</v>
      </c>
      <c r="F6" s="59">
        <f ca="1">AVERAGEIFS(F9:F2202,$C$10:$C$2203,"&lt;=6")</f>
        <v>0</v>
      </c>
      <c r="G6" s="70">
        <f ca="1">AVERAGEIFS(G9:G2202,$C$10:$C$2203,"&lt;=6")</f>
        <v>0</v>
      </c>
      <c r="H6" s="59">
        <f ca="1">AVERAGEIFS(H$10:H$2203,$C$10:$C$2203,"&lt;=6")</f>
        <v>0</v>
      </c>
      <c r="I6" s="59">
        <f ca="1">AVERAGEIFS(I$10:I$2203,$C$10:$C$2203,"&lt;=6")</f>
        <v>0</v>
      </c>
      <c r="J6" s="59">
        <f ca="1">AVERAGEIFS(J$10:J$2203,$C$10:$C$2203,"&lt;=6")</f>
        <v>0</v>
      </c>
      <c r="K6" s="59">
        <f ca="1">AVERAGEIFS(K$10:K$2203,$C$10:$C$2203,"&lt;=6")</f>
        <v>0</v>
      </c>
      <c r="L6" s="71">
        <f ca="1">AVERAGEIFS(L$10:L$2203,$C$10:$C$2203,"&lt;=6")</f>
        <v>0</v>
      </c>
    </row>
    <row r="7" spans="1:19" ht="27.75" customHeight="1" x14ac:dyDescent="0.3">
      <c r="A7" s="53">
        <v>12</v>
      </c>
      <c r="B7" s="69" t="s">
        <v>79</v>
      </c>
      <c r="C7" s="55"/>
      <c r="D7" s="59">
        <f ca="1">AVERAGEIFS(D10:D2203,$C$10:$C$2203,"&lt;=12")</f>
        <v>0</v>
      </c>
      <c r="E7" s="59">
        <f ca="1">AVERAGEIFS(E10:E2203,$C$10:$C$2203,"&lt;=12")</f>
        <v>0</v>
      </c>
      <c r="F7" s="59">
        <f ca="1">AVERAGEIFS(F10:F2203,$C$10:$C$2203,"&lt;=12")</f>
        <v>0</v>
      </c>
      <c r="G7" s="70">
        <f ca="1">AVERAGEIFS(G10:G2203,$C$10:$C$2203,"&lt;=12")</f>
        <v>0</v>
      </c>
      <c r="H7" s="59">
        <f ca="1">AVERAGEIFS(H$10:H$2203,$C$10:$C$2203,"&lt;=12")</f>
        <v>0</v>
      </c>
      <c r="I7" s="59">
        <f ca="1">AVERAGEIFS(I$10:I$2203,$C$10:$C$2203,"&lt;=12")</f>
        <v>0</v>
      </c>
      <c r="J7" s="59">
        <f ca="1">AVERAGEIFS(J$10:J$2203,$C$10:$C$2203,"&lt;=12")</f>
        <v>0</v>
      </c>
      <c r="K7" s="59">
        <f ca="1">AVERAGEIFS(K$10:K$2203,$C$10:$C$2203,"&lt;=12")</f>
        <v>0</v>
      </c>
      <c r="L7" s="71">
        <f ca="1">AVERAGEIFS(L$10:L$2203,$C$10:$C$2203,"&lt;=12")</f>
        <v>0</v>
      </c>
    </row>
    <row r="9" spans="1:19" ht="16.5" customHeight="1" x14ac:dyDescent="0.3">
      <c r="B9" s="57" t="s">
        <v>60</v>
      </c>
      <c r="C9" s="57" t="s">
        <v>75</v>
      </c>
      <c r="D9" s="9" t="s">
        <v>71</v>
      </c>
      <c r="E9" s="9" t="s">
        <v>71</v>
      </c>
      <c r="F9" s="9" t="s">
        <v>71</v>
      </c>
      <c r="G9" s="56" t="s">
        <v>71</v>
      </c>
      <c r="H9" s="9" t="s">
        <v>73</v>
      </c>
      <c r="I9" s="9" t="s">
        <v>73</v>
      </c>
      <c r="J9" s="9" t="s">
        <v>73</v>
      </c>
      <c r="K9" s="9" t="s">
        <v>73</v>
      </c>
      <c r="L9" s="56" t="s">
        <v>73</v>
      </c>
      <c r="M9" s="60" t="s">
        <v>80</v>
      </c>
      <c r="N9" s="61"/>
      <c r="P9" s="53" t="s">
        <v>81</v>
      </c>
    </row>
    <row r="10" spans="1:19" ht="16.5" customHeight="1" x14ac:dyDescent="0.3">
      <c r="B10" s="57" t="s">
        <v>60</v>
      </c>
      <c r="C10" s="57" t="s">
        <v>75</v>
      </c>
      <c r="D10" s="58" t="s">
        <v>51</v>
      </c>
      <c r="E10" s="58" t="s">
        <v>52</v>
      </c>
      <c r="F10" s="58" t="s">
        <v>53</v>
      </c>
      <c r="G10" s="54" t="s">
        <v>10</v>
      </c>
      <c r="H10" s="58" t="s">
        <v>55</v>
      </c>
      <c r="I10" s="58" t="s">
        <v>56</v>
      </c>
      <c r="J10" s="58" t="s">
        <v>57</v>
      </c>
      <c r="K10" s="58" t="s">
        <v>58</v>
      </c>
      <c r="L10" s="54" t="s">
        <v>10</v>
      </c>
      <c r="M10" s="57" t="s">
        <v>10</v>
      </c>
      <c r="N10" s="56" t="s">
        <v>43</v>
      </c>
      <c r="P10" s="57" t="s">
        <v>60</v>
      </c>
      <c r="Q10" s="63" t="s">
        <v>71</v>
      </c>
      <c r="R10" s="64" t="s">
        <v>73</v>
      </c>
      <c r="S10" s="58" t="s">
        <v>43</v>
      </c>
    </row>
    <row r="11" spans="1:19" ht="16.5" customHeight="1" x14ac:dyDescent="0.3">
      <c r="B11" s="55" t="s">
        <v>13</v>
      </c>
      <c r="C11" s="3">
        <f ca="1">IF($B11=참고!$D$5,1,C12+1)</f>
        <v>22</v>
      </c>
      <c r="D11" s="59">
        <f>SUMIFS(원장!$H:$H,원장!$A:$A,증감분석!$B11,원장!$D:$D,증감분석!D$9,원장!$E:$E,증감분석!D$10)</f>
        <v>0</v>
      </c>
      <c r="E11" s="59">
        <f>SUMIFS(원장!$H:$H,원장!$A:$A,증감분석!$B11,원장!$D:$D,증감분석!E$9,원장!$E:$E,증감분석!E$10)</f>
        <v>0</v>
      </c>
      <c r="F11" s="59">
        <f>SUMIFS(원장!$H:$H,원장!$A:$A,증감분석!$B11,원장!$D:$D,증감분석!F$9,원장!$E:$E,증감분석!F$10)</f>
        <v>0</v>
      </c>
      <c r="G11" s="59">
        <f t="shared" ref="G11:G32" si="0">SUM(D11:F11)</f>
        <v>0</v>
      </c>
      <c r="H11" s="59">
        <f>SUMIFS(원장!$H:$H,원장!$A:$A,증감분석!$B11,원장!$D:$D,증감분석!H$9,원장!$E:$E,증감분석!H$10)</f>
        <v>0</v>
      </c>
      <c r="I11" s="59">
        <f>SUMIFS(원장!$H:$H,원장!$A:$A,증감분석!$B11,원장!$D:$D,증감분석!I$9,원장!$E:$E,증감분석!I$10)</f>
        <v>0</v>
      </c>
      <c r="J11" s="59">
        <f>SUMIFS(원장!$H:$H,원장!$A:$A,증감분석!$B11,원장!$D:$D,증감분석!J$9,원장!$E:$E,증감분석!J$10)</f>
        <v>0</v>
      </c>
      <c r="K11" s="59">
        <f>SUMIFS(원장!$H:$H,원장!$A:$A,증감분석!$B11,원장!$D:$D,증감분석!K$9,원장!$E:$E,증감분석!K$10)</f>
        <v>0</v>
      </c>
      <c r="L11" s="59">
        <f t="shared" ref="L11:L32" si="1">SUM(H11:K11)</f>
        <v>0</v>
      </c>
      <c r="M11" s="59">
        <f t="shared" ref="M11:M32" si="2">G11+L11</f>
        <v>0</v>
      </c>
      <c r="N11" s="59">
        <f>SUM($M$11:M11)</f>
        <v>0</v>
      </c>
      <c r="P11" s="55" t="str">
        <f t="shared" ref="P11:P32" si="3">B11</f>
        <v>24년 6월</v>
      </c>
      <c r="Q11" s="59">
        <f t="shared" ref="Q11:Q32" si="4">G11</f>
        <v>0</v>
      </c>
      <c r="R11" s="62">
        <f t="shared" ref="R11:R32" si="5">-L11</f>
        <v>0</v>
      </c>
      <c r="S11" s="59">
        <f t="shared" ref="S11:S32" si="6">N11</f>
        <v>0</v>
      </c>
    </row>
    <row r="12" spans="1:19" ht="16.5" customHeight="1" x14ac:dyDescent="0.3">
      <c r="B12" s="55" t="s">
        <v>14</v>
      </c>
      <c r="C12" s="3">
        <f ca="1">IF($B12=참고!$D$5,1,C13+1)</f>
        <v>21</v>
      </c>
      <c r="D12" s="59">
        <f>SUMIFS(원장!$H:$H,원장!$A:$A,증감분석!$B12,원장!$D:$D,증감분석!D$9,원장!$E:$E,증감분석!D$10)</f>
        <v>0</v>
      </c>
      <c r="E12" s="59">
        <f>SUMIFS(원장!$H:$H,원장!$A:$A,증감분석!$B12,원장!$D:$D,증감분석!E$9,원장!$E:$E,증감분석!E$10)</f>
        <v>0</v>
      </c>
      <c r="F12" s="59">
        <f>SUMIFS(원장!$H:$H,원장!$A:$A,증감분석!$B12,원장!$D:$D,증감분석!F$9,원장!$E:$E,증감분석!F$10)</f>
        <v>0</v>
      </c>
      <c r="G12" s="59">
        <f t="shared" si="0"/>
        <v>0</v>
      </c>
      <c r="H12" s="59">
        <f>SUMIFS(원장!$H:$H,원장!$A:$A,증감분석!$B12,원장!$D:$D,증감분석!H$9,원장!$E:$E,증감분석!H$10)</f>
        <v>0</v>
      </c>
      <c r="I12" s="59">
        <f>SUMIFS(원장!$H:$H,원장!$A:$A,증감분석!$B12,원장!$D:$D,증감분석!I$9,원장!$E:$E,증감분석!I$10)</f>
        <v>0</v>
      </c>
      <c r="J12" s="59">
        <f>SUMIFS(원장!$H:$H,원장!$A:$A,증감분석!$B12,원장!$D:$D,증감분석!J$9,원장!$E:$E,증감분석!J$10)</f>
        <v>0</v>
      </c>
      <c r="K12" s="59">
        <f>SUMIFS(원장!$H:$H,원장!$A:$A,증감분석!$B12,원장!$D:$D,증감분석!K$9,원장!$E:$E,증감분석!K$10)</f>
        <v>0</v>
      </c>
      <c r="L12" s="59">
        <f t="shared" si="1"/>
        <v>0</v>
      </c>
      <c r="M12" s="59">
        <f t="shared" si="2"/>
        <v>0</v>
      </c>
      <c r="N12" s="59">
        <f>SUM($M$11:M12)</f>
        <v>0</v>
      </c>
      <c r="P12" s="55" t="str">
        <f t="shared" si="3"/>
        <v>24년 7월</v>
      </c>
      <c r="Q12" s="59">
        <f t="shared" si="4"/>
        <v>0</v>
      </c>
      <c r="R12" s="62">
        <f t="shared" si="5"/>
        <v>0</v>
      </c>
      <c r="S12" s="59">
        <f t="shared" si="6"/>
        <v>0</v>
      </c>
    </row>
    <row r="13" spans="1:19" ht="16.5" customHeight="1" x14ac:dyDescent="0.3">
      <c r="B13" s="55" t="s">
        <v>15</v>
      </c>
      <c r="C13" s="3">
        <f ca="1">IF($B13=참고!$D$5,1,C14+1)</f>
        <v>20</v>
      </c>
      <c r="D13" s="59">
        <f>SUMIFS(원장!$H:$H,원장!$A:$A,증감분석!$B13,원장!$D:$D,증감분석!D$9,원장!$E:$E,증감분석!D$10)</f>
        <v>0</v>
      </c>
      <c r="E13" s="59">
        <f>SUMIFS(원장!$H:$H,원장!$A:$A,증감분석!$B13,원장!$D:$D,증감분석!E$9,원장!$E:$E,증감분석!E$10)</f>
        <v>0</v>
      </c>
      <c r="F13" s="59">
        <f>SUMIFS(원장!$H:$H,원장!$A:$A,증감분석!$B13,원장!$D:$D,증감분석!F$9,원장!$E:$E,증감분석!F$10)</f>
        <v>0</v>
      </c>
      <c r="G13" s="59">
        <f t="shared" si="0"/>
        <v>0</v>
      </c>
      <c r="H13" s="59">
        <f>SUMIFS(원장!$H:$H,원장!$A:$A,증감분석!$B13,원장!$D:$D,증감분석!H$9,원장!$E:$E,증감분석!H$10)</f>
        <v>0</v>
      </c>
      <c r="I13" s="59">
        <f>SUMIFS(원장!$H:$H,원장!$A:$A,증감분석!$B13,원장!$D:$D,증감분석!I$9,원장!$E:$E,증감분석!I$10)</f>
        <v>0</v>
      </c>
      <c r="J13" s="59">
        <f>SUMIFS(원장!$H:$H,원장!$A:$A,증감분석!$B13,원장!$D:$D,증감분석!J$9,원장!$E:$E,증감분석!J$10)</f>
        <v>0</v>
      </c>
      <c r="K13" s="59">
        <f>SUMIFS(원장!$H:$H,원장!$A:$A,증감분석!$B13,원장!$D:$D,증감분석!K$9,원장!$E:$E,증감분석!K$10)</f>
        <v>0</v>
      </c>
      <c r="L13" s="59">
        <f t="shared" si="1"/>
        <v>0</v>
      </c>
      <c r="M13" s="59">
        <f t="shared" si="2"/>
        <v>0</v>
      </c>
      <c r="N13" s="59">
        <f>SUM($M$11:M13)</f>
        <v>0</v>
      </c>
      <c r="P13" s="55" t="str">
        <f t="shared" si="3"/>
        <v>24년 8월</v>
      </c>
      <c r="Q13" s="59">
        <f t="shared" si="4"/>
        <v>0</v>
      </c>
      <c r="R13" s="62">
        <f t="shared" si="5"/>
        <v>0</v>
      </c>
      <c r="S13" s="59">
        <f t="shared" si="6"/>
        <v>0</v>
      </c>
    </row>
    <row r="14" spans="1:19" ht="16.5" customHeight="1" x14ac:dyDescent="0.3">
      <c r="B14" s="55" t="s">
        <v>16</v>
      </c>
      <c r="C14" s="3">
        <f ca="1">IF($B14=참고!$D$5,1,C15+1)</f>
        <v>19</v>
      </c>
      <c r="D14" s="59">
        <f>SUMIFS(원장!$H:$H,원장!$A:$A,증감분석!$B14,원장!$D:$D,증감분석!D$9,원장!$E:$E,증감분석!D$10)</f>
        <v>0</v>
      </c>
      <c r="E14" s="59">
        <f>SUMIFS(원장!$H:$H,원장!$A:$A,증감분석!$B14,원장!$D:$D,증감분석!E$9,원장!$E:$E,증감분석!E$10)</f>
        <v>0</v>
      </c>
      <c r="F14" s="59">
        <f>SUMIFS(원장!$H:$H,원장!$A:$A,증감분석!$B14,원장!$D:$D,증감분석!F$9,원장!$E:$E,증감분석!F$10)</f>
        <v>0</v>
      </c>
      <c r="G14" s="59">
        <f t="shared" si="0"/>
        <v>0</v>
      </c>
      <c r="H14" s="59">
        <f>SUMIFS(원장!$H:$H,원장!$A:$A,증감분석!$B14,원장!$D:$D,증감분석!H$9,원장!$E:$E,증감분석!H$10)</f>
        <v>0</v>
      </c>
      <c r="I14" s="59">
        <f>SUMIFS(원장!$H:$H,원장!$A:$A,증감분석!$B14,원장!$D:$D,증감분석!I$9,원장!$E:$E,증감분석!I$10)</f>
        <v>0</v>
      </c>
      <c r="J14" s="59">
        <f>SUMIFS(원장!$H:$H,원장!$A:$A,증감분석!$B14,원장!$D:$D,증감분석!J$9,원장!$E:$E,증감분석!J$10)</f>
        <v>0</v>
      </c>
      <c r="K14" s="59">
        <f>SUMIFS(원장!$H:$H,원장!$A:$A,증감분석!$B14,원장!$D:$D,증감분석!K$9,원장!$E:$E,증감분석!K$10)</f>
        <v>0</v>
      </c>
      <c r="L14" s="59">
        <f t="shared" si="1"/>
        <v>0</v>
      </c>
      <c r="M14" s="59">
        <f t="shared" si="2"/>
        <v>0</v>
      </c>
      <c r="N14" s="59">
        <f>SUM($M$11:M14)</f>
        <v>0</v>
      </c>
      <c r="P14" s="55" t="str">
        <f t="shared" si="3"/>
        <v>24년 9월</v>
      </c>
      <c r="Q14" s="59">
        <f t="shared" si="4"/>
        <v>0</v>
      </c>
      <c r="R14" s="62">
        <f t="shared" si="5"/>
        <v>0</v>
      </c>
      <c r="S14" s="59">
        <f t="shared" si="6"/>
        <v>0</v>
      </c>
    </row>
    <row r="15" spans="1:19" ht="16.5" customHeight="1" x14ac:dyDescent="0.3">
      <c r="B15" s="55" t="s">
        <v>17</v>
      </c>
      <c r="C15" s="3">
        <f ca="1">IF($B15=참고!$D$5,1,C16+1)</f>
        <v>18</v>
      </c>
      <c r="D15" s="59">
        <f>SUMIFS(원장!$H:$H,원장!$A:$A,증감분석!$B15,원장!$D:$D,증감분석!D$9,원장!$E:$E,증감분석!D$10)</f>
        <v>0</v>
      </c>
      <c r="E15" s="59">
        <f>SUMIFS(원장!$H:$H,원장!$A:$A,증감분석!$B15,원장!$D:$D,증감분석!E$9,원장!$E:$E,증감분석!E$10)</f>
        <v>0</v>
      </c>
      <c r="F15" s="59">
        <f>SUMIFS(원장!$H:$H,원장!$A:$A,증감분석!$B15,원장!$D:$D,증감분석!F$9,원장!$E:$E,증감분석!F$10)</f>
        <v>0</v>
      </c>
      <c r="G15" s="59">
        <f t="shared" si="0"/>
        <v>0</v>
      </c>
      <c r="H15" s="59">
        <f>SUMIFS(원장!$H:$H,원장!$A:$A,증감분석!$B15,원장!$D:$D,증감분석!H$9,원장!$E:$E,증감분석!H$10)</f>
        <v>0</v>
      </c>
      <c r="I15" s="59">
        <f>SUMIFS(원장!$H:$H,원장!$A:$A,증감분석!$B15,원장!$D:$D,증감분석!I$9,원장!$E:$E,증감분석!I$10)</f>
        <v>0</v>
      </c>
      <c r="J15" s="59">
        <f>SUMIFS(원장!$H:$H,원장!$A:$A,증감분석!$B15,원장!$D:$D,증감분석!J$9,원장!$E:$E,증감분석!J$10)</f>
        <v>0</v>
      </c>
      <c r="K15" s="59">
        <f>SUMIFS(원장!$H:$H,원장!$A:$A,증감분석!$B15,원장!$D:$D,증감분석!K$9,원장!$E:$E,증감분석!K$10)</f>
        <v>0</v>
      </c>
      <c r="L15" s="59">
        <f t="shared" si="1"/>
        <v>0</v>
      </c>
      <c r="M15" s="59">
        <f t="shared" si="2"/>
        <v>0</v>
      </c>
      <c r="N15" s="59">
        <f>SUM($M$11:M15)</f>
        <v>0</v>
      </c>
      <c r="P15" s="55" t="str">
        <f t="shared" si="3"/>
        <v>24년 10월</v>
      </c>
      <c r="Q15" s="59">
        <f t="shared" si="4"/>
        <v>0</v>
      </c>
      <c r="R15" s="62">
        <f t="shared" si="5"/>
        <v>0</v>
      </c>
      <c r="S15" s="59">
        <f t="shared" si="6"/>
        <v>0</v>
      </c>
    </row>
    <row r="16" spans="1:19" ht="16.5" customHeight="1" x14ac:dyDescent="0.3">
      <c r="B16" s="55" t="s">
        <v>18</v>
      </c>
      <c r="C16" s="3">
        <f ca="1">IF($B16=참고!$D$5,1,C17+1)</f>
        <v>17</v>
      </c>
      <c r="D16" s="59">
        <f>SUMIFS(원장!$H:$H,원장!$A:$A,증감분석!$B16,원장!$D:$D,증감분석!D$9,원장!$E:$E,증감분석!D$10)</f>
        <v>0</v>
      </c>
      <c r="E16" s="59">
        <f>SUMIFS(원장!$H:$H,원장!$A:$A,증감분석!$B16,원장!$D:$D,증감분석!E$9,원장!$E:$E,증감분석!E$10)</f>
        <v>0</v>
      </c>
      <c r="F16" s="59">
        <f>SUMIFS(원장!$H:$H,원장!$A:$A,증감분석!$B16,원장!$D:$D,증감분석!F$9,원장!$E:$E,증감분석!F$10)</f>
        <v>0</v>
      </c>
      <c r="G16" s="59">
        <f t="shared" si="0"/>
        <v>0</v>
      </c>
      <c r="H16" s="59">
        <f>SUMIFS(원장!$H:$H,원장!$A:$A,증감분석!$B16,원장!$D:$D,증감분석!H$9,원장!$E:$E,증감분석!H$10)</f>
        <v>0</v>
      </c>
      <c r="I16" s="59">
        <f>SUMIFS(원장!$H:$H,원장!$A:$A,증감분석!$B16,원장!$D:$D,증감분석!I$9,원장!$E:$E,증감분석!I$10)</f>
        <v>0</v>
      </c>
      <c r="J16" s="59">
        <f>SUMIFS(원장!$H:$H,원장!$A:$A,증감분석!$B16,원장!$D:$D,증감분석!J$9,원장!$E:$E,증감분석!J$10)</f>
        <v>0</v>
      </c>
      <c r="K16" s="59">
        <f>SUMIFS(원장!$H:$H,원장!$A:$A,증감분석!$B16,원장!$D:$D,증감분석!K$9,원장!$E:$E,증감분석!K$10)</f>
        <v>0</v>
      </c>
      <c r="L16" s="59">
        <f t="shared" si="1"/>
        <v>0</v>
      </c>
      <c r="M16" s="59">
        <f t="shared" si="2"/>
        <v>0</v>
      </c>
      <c r="N16" s="59">
        <f>SUM($M$11:M16)</f>
        <v>0</v>
      </c>
      <c r="P16" s="55" t="str">
        <f t="shared" si="3"/>
        <v>24년 11월</v>
      </c>
      <c r="Q16" s="59">
        <f t="shared" si="4"/>
        <v>0</v>
      </c>
      <c r="R16" s="62">
        <f t="shared" si="5"/>
        <v>0</v>
      </c>
      <c r="S16" s="59">
        <f t="shared" si="6"/>
        <v>0</v>
      </c>
    </row>
    <row r="17" spans="2:19" ht="16.5" customHeight="1" x14ac:dyDescent="0.3">
      <c r="B17" s="55" t="s">
        <v>19</v>
      </c>
      <c r="C17" s="3">
        <f ca="1">IF($B17=참고!$D$5,1,C18+1)</f>
        <v>16</v>
      </c>
      <c r="D17" s="59">
        <f>SUMIFS(원장!$H:$H,원장!$A:$A,증감분석!$B17,원장!$D:$D,증감분석!D$9,원장!$E:$E,증감분석!D$10)</f>
        <v>0</v>
      </c>
      <c r="E17" s="59">
        <f>SUMIFS(원장!$H:$H,원장!$A:$A,증감분석!$B17,원장!$D:$D,증감분석!E$9,원장!$E:$E,증감분석!E$10)</f>
        <v>0</v>
      </c>
      <c r="F17" s="59">
        <f>SUMIFS(원장!$H:$H,원장!$A:$A,증감분석!$B17,원장!$D:$D,증감분석!F$9,원장!$E:$E,증감분석!F$10)</f>
        <v>0</v>
      </c>
      <c r="G17" s="59">
        <f t="shared" si="0"/>
        <v>0</v>
      </c>
      <c r="H17" s="59">
        <f>SUMIFS(원장!$H:$H,원장!$A:$A,증감분석!$B17,원장!$D:$D,증감분석!H$9,원장!$E:$E,증감분석!H$10)</f>
        <v>0</v>
      </c>
      <c r="I17" s="59">
        <f>SUMIFS(원장!$H:$H,원장!$A:$A,증감분석!$B17,원장!$D:$D,증감분석!I$9,원장!$E:$E,증감분석!I$10)</f>
        <v>0</v>
      </c>
      <c r="J17" s="59">
        <f>SUMIFS(원장!$H:$H,원장!$A:$A,증감분석!$B17,원장!$D:$D,증감분석!J$9,원장!$E:$E,증감분석!J$10)</f>
        <v>0</v>
      </c>
      <c r="K17" s="59">
        <f>SUMIFS(원장!$H:$H,원장!$A:$A,증감분석!$B17,원장!$D:$D,증감분석!K$9,원장!$E:$E,증감분석!K$10)</f>
        <v>0</v>
      </c>
      <c r="L17" s="59">
        <f t="shared" si="1"/>
        <v>0</v>
      </c>
      <c r="M17" s="59">
        <f t="shared" si="2"/>
        <v>0</v>
      </c>
      <c r="N17" s="59">
        <f>SUM($M$11:M17)</f>
        <v>0</v>
      </c>
      <c r="P17" s="55" t="str">
        <f t="shared" si="3"/>
        <v>24년 12월</v>
      </c>
      <c r="Q17" s="59">
        <f t="shared" si="4"/>
        <v>0</v>
      </c>
      <c r="R17" s="62">
        <f t="shared" si="5"/>
        <v>0</v>
      </c>
      <c r="S17" s="59">
        <f t="shared" si="6"/>
        <v>0</v>
      </c>
    </row>
    <row r="18" spans="2:19" ht="16.5" customHeight="1" x14ac:dyDescent="0.3">
      <c r="B18" s="55" t="s">
        <v>20</v>
      </c>
      <c r="C18" s="3">
        <f ca="1">IF($B18=참고!$D$5,1,C19+1)</f>
        <v>15</v>
      </c>
      <c r="D18" s="59">
        <f>SUMIFS(원장!$H:$H,원장!$A:$A,증감분석!$B18,원장!$D:$D,증감분석!D$9,원장!$E:$E,증감분석!D$10)</f>
        <v>0</v>
      </c>
      <c r="E18" s="59">
        <f>SUMIFS(원장!$H:$H,원장!$A:$A,증감분석!$B18,원장!$D:$D,증감분석!E$9,원장!$E:$E,증감분석!E$10)</f>
        <v>0</v>
      </c>
      <c r="F18" s="59">
        <f>SUMIFS(원장!$H:$H,원장!$A:$A,증감분석!$B18,원장!$D:$D,증감분석!F$9,원장!$E:$E,증감분석!F$10)</f>
        <v>0</v>
      </c>
      <c r="G18" s="59">
        <f t="shared" si="0"/>
        <v>0</v>
      </c>
      <c r="H18" s="59">
        <f>SUMIFS(원장!$H:$H,원장!$A:$A,증감분석!$B18,원장!$D:$D,증감분석!H$9,원장!$E:$E,증감분석!H$10)</f>
        <v>0</v>
      </c>
      <c r="I18" s="59">
        <f>SUMIFS(원장!$H:$H,원장!$A:$A,증감분석!$B18,원장!$D:$D,증감분석!I$9,원장!$E:$E,증감분석!I$10)</f>
        <v>0</v>
      </c>
      <c r="J18" s="59">
        <f>SUMIFS(원장!$H:$H,원장!$A:$A,증감분석!$B18,원장!$D:$D,증감분석!J$9,원장!$E:$E,증감분석!J$10)</f>
        <v>0</v>
      </c>
      <c r="K18" s="59">
        <f>SUMIFS(원장!$H:$H,원장!$A:$A,증감분석!$B18,원장!$D:$D,증감분석!K$9,원장!$E:$E,증감분석!K$10)</f>
        <v>0</v>
      </c>
      <c r="L18" s="59">
        <f t="shared" si="1"/>
        <v>0</v>
      </c>
      <c r="M18" s="59">
        <f t="shared" si="2"/>
        <v>0</v>
      </c>
      <c r="N18" s="59">
        <f>SUM($M$11:M18)</f>
        <v>0</v>
      </c>
      <c r="P18" s="55" t="str">
        <f t="shared" si="3"/>
        <v>25년 1월</v>
      </c>
      <c r="Q18" s="59">
        <f t="shared" si="4"/>
        <v>0</v>
      </c>
      <c r="R18" s="62">
        <f t="shared" si="5"/>
        <v>0</v>
      </c>
      <c r="S18" s="59">
        <f t="shared" si="6"/>
        <v>0</v>
      </c>
    </row>
    <row r="19" spans="2:19" ht="16.5" customHeight="1" x14ac:dyDescent="0.3">
      <c r="B19" s="55" t="s">
        <v>21</v>
      </c>
      <c r="C19" s="3">
        <f ca="1">IF($B19=참고!$D$5,1,C20+1)</f>
        <v>14</v>
      </c>
      <c r="D19" s="59">
        <f>SUMIFS(원장!$H:$H,원장!$A:$A,증감분석!$B19,원장!$D:$D,증감분석!D$9,원장!$E:$E,증감분석!D$10)</f>
        <v>0</v>
      </c>
      <c r="E19" s="59">
        <f>SUMIFS(원장!$H:$H,원장!$A:$A,증감분석!$B19,원장!$D:$D,증감분석!E$9,원장!$E:$E,증감분석!E$10)</f>
        <v>0</v>
      </c>
      <c r="F19" s="59">
        <f>SUMIFS(원장!$H:$H,원장!$A:$A,증감분석!$B19,원장!$D:$D,증감분석!F$9,원장!$E:$E,증감분석!F$10)</f>
        <v>0</v>
      </c>
      <c r="G19" s="59">
        <f t="shared" si="0"/>
        <v>0</v>
      </c>
      <c r="H19" s="59">
        <f>SUMIFS(원장!$H:$H,원장!$A:$A,증감분석!$B19,원장!$D:$D,증감분석!H$9,원장!$E:$E,증감분석!H$10)</f>
        <v>0</v>
      </c>
      <c r="I19" s="59">
        <f>SUMIFS(원장!$H:$H,원장!$A:$A,증감분석!$B19,원장!$D:$D,증감분석!I$9,원장!$E:$E,증감분석!I$10)</f>
        <v>0</v>
      </c>
      <c r="J19" s="59">
        <f>SUMIFS(원장!$H:$H,원장!$A:$A,증감분석!$B19,원장!$D:$D,증감분석!J$9,원장!$E:$E,증감분석!J$10)</f>
        <v>0</v>
      </c>
      <c r="K19" s="59">
        <f>SUMIFS(원장!$H:$H,원장!$A:$A,증감분석!$B19,원장!$D:$D,증감분석!K$9,원장!$E:$E,증감분석!K$10)</f>
        <v>0</v>
      </c>
      <c r="L19" s="59">
        <f t="shared" si="1"/>
        <v>0</v>
      </c>
      <c r="M19" s="59">
        <f t="shared" si="2"/>
        <v>0</v>
      </c>
      <c r="N19" s="59">
        <f>SUM($M$11:M19)</f>
        <v>0</v>
      </c>
      <c r="P19" s="55" t="str">
        <f t="shared" si="3"/>
        <v>25년 2월</v>
      </c>
      <c r="Q19" s="59">
        <f t="shared" si="4"/>
        <v>0</v>
      </c>
      <c r="R19" s="62">
        <f t="shared" si="5"/>
        <v>0</v>
      </c>
      <c r="S19" s="59">
        <f t="shared" si="6"/>
        <v>0</v>
      </c>
    </row>
    <row r="20" spans="2:19" ht="16.5" customHeight="1" x14ac:dyDescent="0.3">
      <c r="B20" s="55" t="s">
        <v>22</v>
      </c>
      <c r="C20" s="3">
        <f ca="1">IF($B20=참고!$D$5,1,C21+1)</f>
        <v>13</v>
      </c>
      <c r="D20" s="59">
        <f>SUMIFS(원장!$H:$H,원장!$A:$A,증감분석!$B20,원장!$D:$D,증감분석!D$9,원장!$E:$E,증감분석!D$10)</f>
        <v>0</v>
      </c>
      <c r="E20" s="59">
        <f>SUMIFS(원장!$H:$H,원장!$A:$A,증감분석!$B20,원장!$D:$D,증감분석!E$9,원장!$E:$E,증감분석!E$10)</f>
        <v>0</v>
      </c>
      <c r="F20" s="59">
        <f>SUMIFS(원장!$H:$H,원장!$A:$A,증감분석!$B20,원장!$D:$D,증감분석!F$9,원장!$E:$E,증감분석!F$10)</f>
        <v>0</v>
      </c>
      <c r="G20" s="59">
        <f t="shared" si="0"/>
        <v>0</v>
      </c>
      <c r="H20" s="59">
        <f>SUMIFS(원장!$H:$H,원장!$A:$A,증감분석!$B20,원장!$D:$D,증감분석!H$9,원장!$E:$E,증감분석!H$10)</f>
        <v>0</v>
      </c>
      <c r="I20" s="59">
        <f>SUMIFS(원장!$H:$H,원장!$A:$A,증감분석!$B20,원장!$D:$D,증감분석!I$9,원장!$E:$E,증감분석!I$10)</f>
        <v>0</v>
      </c>
      <c r="J20" s="59">
        <f>SUMIFS(원장!$H:$H,원장!$A:$A,증감분석!$B20,원장!$D:$D,증감분석!J$9,원장!$E:$E,증감분석!J$10)</f>
        <v>0</v>
      </c>
      <c r="K20" s="59">
        <f>SUMIFS(원장!$H:$H,원장!$A:$A,증감분석!$B20,원장!$D:$D,증감분석!K$9,원장!$E:$E,증감분석!K$10)</f>
        <v>0</v>
      </c>
      <c r="L20" s="59">
        <f t="shared" si="1"/>
        <v>0</v>
      </c>
      <c r="M20" s="59">
        <f t="shared" si="2"/>
        <v>0</v>
      </c>
      <c r="N20" s="59">
        <f>SUM($M$11:M20)</f>
        <v>0</v>
      </c>
      <c r="P20" s="55" t="str">
        <f t="shared" si="3"/>
        <v>25년 3월</v>
      </c>
      <c r="Q20" s="59">
        <f t="shared" si="4"/>
        <v>0</v>
      </c>
      <c r="R20" s="62">
        <f t="shared" si="5"/>
        <v>0</v>
      </c>
      <c r="S20" s="59">
        <f t="shared" si="6"/>
        <v>0</v>
      </c>
    </row>
    <row r="21" spans="2:19" ht="16.5" customHeight="1" x14ac:dyDescent="0.3">
      <c r="B21" s="55" t="s">
        <v>23</v>
      </c>
      <c r="C21" s="3">
        <f ca="1">IF($B21=참고!$D$5,1,C22+1)</f>
        <v>12</v>
      </c>
      <c r="D21" s="59">
        <f>SUMIFS(원장!$H:$H,원장!$A:$A,증감분석!$B21,원장!$D:$D,증감분석!D$9,원장!$E:$E,증감분석!D$10)</f>
        <v>0</v>
      </c>
      <c r="E21" s="59">
        <f>SUMIFS(원장!$H:$H,원장!$A:$A,증감분석!$B21,원장!$D:$D,증감분석!E$9,원장!$E:$E,증감분석!E$10)</f>
        <v>0</v>
      </c>
      <c r="F21" s="59">
        <f>SUMIFS(원장!$H:$H,원장!$A:$A,증감분석!$B21,원장!$D:$D,증감분석!F$9,원장!$E:$E,증감분석!F$10)</f>
        <v>0</v>
      </c>
      <c r="G21" s="59">
        <f t="shared" si="0"/>
        <v>0</v>
      </c>
      <c r="H21" s="59">
        <f>SUMIFS(원장!$H:$H,원장!$A:$A,증감분석!$B21,원장!$D:$D,증감분석!H$9,원장!$E:$E,증감분석!H$10)</f>
        <v>0</v>
      </c>
      <c r="I21" s="59">
        <f>SUMIFS(원장!$H:$H,원장!$A:$A,증감분석!$B21,원장!$D:$D,증감분석!I$9,원장!$E:$E,증감분석!I$10)</f>
        <v>0</v>
      </c>
      <c r="J21" s="59">
        <f>SUMIFS(원장!$H:$H,원장!$A:$A,증감분석!$B21,원장!$D:$D,증감분석!J$9,원장!$E:$E,증감분석!J$10)</f>
        <v>0</v>
      </c>
      <c r="K21" s="59">
        <f>SUMIFS(원장!$H:$H,원장!$A:$A,증감분석!$B21,원장!$D:$D,증감분석!K$9,원장!$E:$E,증감분석!K$10)</f>
        <v>0</v>
      </c>
      <c r="L21" s="59">
        <f t="shared" si="1"/>
        <v>0</v>
      </c>
      <c r="M21" s="59">
        <f t="shared" si="2"/>
        <v>0</v>
      </c>
      <c r="N21" s="59">
        <f>SUM($M$11:M21)</f>
        <v>0</v>
      </c>
      <c r="P21" s="55" t="str">
        <f t="shared" si="3"/>
        <v>25년 4월</v>
      </c>
      <c r="Q21" s="59">
        <f t="shared" si="4"/>
        <v>0</v>
      </c>
      <c r="R21" s="62">
        <f t="shared" si="5"/>
        <v>0</v>
      </c>
      <c r="S21" s="59">
        <f t="shared" si="6"/>
        <v>0</v>
      </c>
    </row>
    <row r="22" spans="2:19" ht="16.5" customHeight="1" x14ac:dyDescent="0.3">
      <c r="B22" s="55" t="s">
        <v>24</v>
      </c>
      <c r="C22" s="3">
        <f ca="1">IF($B22=참고!$D$5,1,C23+1)</f>
        <v>11</v>
      </c>
      <c r="D22" s="59">
        <f>SUMIFS(원장!$H:$H,원장!$A:$A,증감분석!$B22,원장!$D:$D,증감분석!D$9,원장!$E:$E,증감분석!D$10)</f>
        <v>0</v>
      </c>
      <c r="E22" s="59">
        <f>SUMIFS(원장!$H:$H,원장!$A:$A,증감분석!$B22,원장!$D:$D,증감분석!E$9,원장!$E:$E,증감분석!E$10)</f>
        <v>0</v>
      </c>
      <c r="F22" s="59">
        <f>SUMIFS(원장!$H:$H,원장!$A:$A,증감분석!$B22,원장!$D:$D,증감분석!F$9,원장!$E:$E,증감분석!F$10)</f>
        <v>0</v>
      </c>
      <c r="G22" s="59">
        <f t="shared" si="0"/>
        <v>0</v>
      </c>
      <c r="H22" s="59">
        <f>SUMIFS(원장!$H:$H,원장!$A:$A,증감분석!$B22,원장!$D:$D,증감분석!H$9,원장!$E:$E,증감분석!H$10)</f>
        <v>0</v>
      </c>
      <c r="I22" s="59">
        <f>SUMIFS(원장!$H:$H,원장!$A:$A,증감분석!$B22,원장!$D:$D,증감분석!I$9,원장!$E:$E,증감분석!I$10)</f>
        <v>0</v>
      </c>
      <c r="J22" s="59">
        <f>SUMIFS(원장!$H:$H,원장!$A:$A,증감분석!$B22,원장!$D:$D,증감분석!J$9,원장!$E:$E,증감분석!J$10)</f>
        <v>0</v>
      </c>
      <c r="K22" s="59">
        <f>SUMIFS(원장!$H:$H,원장!$A:$A,증감분석!$B22,원장!$D:$D,증감분석!K$9,원장!$E:$E,증감분석!K$10)</f>
        <v>0</v>
      </c>
      <c r="L22" s="59">
        <f t="shared" si="1"/>
        <v>0</v>
      </c>
      <c r="M22" s="59">
        <f t="shared" si="2"/>
        <v>0</v>
      </c>
      <c r="N22" s="59">
        <f>SUM($M$11:M22)</f>
        <v>0</v>
      </c>
      <c r="P22" s="55" t="str">
        <f t="shared" si="3"/>
        <v>25년 5월</v>
      </c>
      <c r="Q22" s="59">
        <f t="shared" si="4"/>
        <v>0</v>
      </c>
      <c r="R22" s="62">
        <f t="shared" si="5"/>
        <v>0</v>
      </c>
      <c r="S22" s="59">
        <f t="shared" si="6"/>
        <v>0</v>
      </c>
    </row>
    <row r="23" spans="2:19" ht="16.5" customHeight="1" x14ac:dyDescent="0.3">
      <c r="B23" s="55" t="s">
        <v>25</v>
      </c>
      <c r="C23" s="3">
        <f ca="1">IF($B23=참고!$D$5,1,C24+1)</f>
        <v>10</v>
      </c>
      <c r="D23" s="59">
        <f>SUMIFS(원장!$H:$H,원장!$A:$A,증감분석!$B23,원장!$D:$D,증감분석!D$9,원장!$E:$E,증감분석!D$10)</f>
        <v>0</v>
      </c>
      <c r="E23" s="59">
        <f>SUMIFS(원장!$H:$H,원장!$A:$A,증감분석!$B23,원장!$D:$D,증감분석!E$9,원장!$E:$E,증감분석!E$10)</f>
        <v>0</v>
      </c>
      <c r="F23" s="59">
        <f>SUMIFS(원장!$H:$H,원장!$A:$A,증감분석!$B23,원장!$D:$D,증감분석!F$9,원장!$E:$E,증감분석!F$10)</f>
        <v>0</v>
      </c>
      <c r="G23" s="59">
        <f t="shared" si="0"/>
        <v>0</v>
      </c>
      <c r="H23" s="59">
        <f>SUMIFS(원장!$H:$H,원장!$A:$A,증감분석!$B23,원장!$D:$D,증감분석!H$9,원장!$E:$E,증감분석!H$10)</f>
        <v>0</v>
      </c>
      <c r="I23" s="59">
        <f>SUMIFS(원장!$H:$H,원장!$A:$A,증감분석!$B23,원장!$D:$D,증감분석!I$9,원장!$E:$E,증감분석!I$10)</f>
        <v>0</v>
      </c>
      <c r="J23" s="59">
        <f>SUMIFS(원장!$H:$H,원장!$A:$A,증감분석!$B23,원장!$D:$D,증감분석!J$9,원장!$E:$E,증감분석!J$10)</f>
        <v>0</v>
      </c>
      <c r="K23" s="59">
        <f>SUMIFS(원장!$H:$H,원장!$A:$A,증감분석!$B23,원장!$D:$D,증감분석!K$9,원장!$E:$E,증감분석!K$10)</f>
        <v>0</v>
      </c>
      <c r="L23" s="59">
        <f t="shared" si="1"/>
        <v>0</v>
      </c>
      <c r="M23" s="59">
        <f t="shared" si="2"/>
        <v>0</v>
      </c>
      <c r="N23" s="59">
        <f>SUM($M$11:M23)</f>
        <v>0</v>
      </c>
      <c r="P23" s="55" t="str">
        <f t="shared" si="3"/>
        <v>25년 6월</v>
      </c>
      <c r="Q23" s="59">
        <f t="shared" si="4"/>
        <v>0</v>
      </c>
      <c r="R23" s="62">
        <f t="shared" si="5"/>
        <v>0</v>
      </c>
      <c r="S23" s="59">
        <f t="shared" si="6"/>
        <v>0</v>
      </c>
    </row>
    <row r="24" spans="2:19" ht="16.5" customHeight="1" x14ac:dyDescent="0.3">
      <c r="B24" s="55" t="s">
        <v>26</v>
      </c>
      <c r="C24" s="3">
        <f ca="1">IF($B24=참고!$D$5,1,C25+1)</f>
        <v>9</v>
      </c>
      <c r="D24" s="59">
        <f>SUMIFS(원장!$H:$H,원장!$A:$A,증감분석!$B24,원장!$D:$D,증감분석!D$9,원장!$E:$E,증감분석!D$10)</f>
        <v>0</v>
      </c>
      <c r="E24" s="59">
        <f>SUMIFS(원장!$H:$H,원장!$A:$A,증감분석!$B24,원장!$D:$D,증감분석!E$9,원장!$E:$E,증감분석!E$10)</f>
        <v>0</v>
      </c>
      <c r="F24" s="59">
        <f>SUMIFS(원장!$H:$H,원장!$A:$A,증감분석!$B24,원장!$D:$D,증감분석!F$9,원장!$E:$E,증감분석!F$10)</f>
        <v>0</v>
      </c>
      <c r="G24" s="59">
        <f t="shared" si="0"/>
        <v>0</v>
      </c>
      <c r="H24" s="59">
        <f>SUMIFS(원장!$H:$H,원장!$A:$A,증감분석!$B24,원장!$D:$D,증감분석!H$9,원장!$E:$E,증감분석!H$10)</f>
        <v>0</v>
      </c>
      <c r="I24" s="59">
        <f>SUMIFS(원장!$H:$H,원장!$A:$A,증감분석!$B24,원장!$D:$D,증감분석!I$9,원장!$E:$E,증감분석!I$10)</f>
        <v>0</v>
      </c>
      <c r="J24" s="59">
        <f>SUMIFS(원장!$H:$H,원장!$A:$A,증감분석!$B24,원장!$D:$D,증감분석!J$9,원장!$E:$E,증감분석!J$10)</f>
        <v>0</v>
      </c>
      <c r="K24" s="59">
        <f>SUMIFS(원장!$H:$H,원장!$A:$A,증감분석!$B24,원장!$D:$D,증감분석!K$9,원장!$E:$E,증감분석!K$10)</f>
        <v>0</v>
      </c>
      <c r="L24" s="59">
        <f t="shared" si="1"/>
        <v>0</v>
      </c>
      <c r="M24" s="59">
        <f t="shared" si="2"/>
        <v>0</v>
      </c>
      <c r="N24" s="59">
        <f>SUM($M$11:M24)</f>
        <v>0</v>
      </c>
      <c r="P24" s="55" t="str">
        <f t="shared" si="3"/>
        <v>25년 7월</v>
      </c>
      <c r="Q24" s="59">
        <f t="shared" si="4"/>
        <v>0</v>
      </c>
      <c r="R24" s="62">
        <f t="shared" si="5"/>
        <v>0</v>
      </c>
      <c r="S24" s="59">
        <f t="shared" si="6"/>
        <v>0</v>
      </c>
    </row>
    <row r="25" spans="2:19" ht="16.5" customHeight="1" x14ac:dyDescent="0.3">
      <c r="B25" s="55" t="s">
        <v>27</v>
      </c>
      <c r="C25" s="3">
        <f ca="1">IF($B25=참고!$D$5,1,C26+1)</f>
        <v>8</v>
      </c>
      <c r="D25" s="59">
        <f>SUMIFS(원장!$H:$H,원장!$A:$A,증감분석!$B25,원장!$D:$D,증감분석!D$9,원장!$E:$E,증감분석!D$10)</f>
        <v>0</v>
      </c>
      <c r="E25" s="59">
        <f>SUMIFS(원장!$H:$H,원장!$A:$A,증감분석!$B25,원장!$D:$D,증감분석!E$9,원장!$E:$E,증감분석!E$10)</f>
        <v>0</v>
      </c>
      <c r="F25" s="59">
        <f>SUMIFS(원장!$H:$H,원장!$A:$A,증감분석!$B25,원장!$D:$D,증감분석!F$9,원장!$E:$E,증감분석!F$10)</f>
        <v>0</v>
      </c>
      <c r="G25" s="59">
        <f t="shared" si="0"/>
        <v>0</v>
      </c>
      <c r="H25" s="59">
        <f>SUMIFS(원장!$H:$H,원장!$A:$A,증감분석!$B25,원장!$D:$D,증감분석!H$9,원장!$E:$E,증감분석!H$10)</f>
        <v>0</v>
      </c>
      <c r="I25" s="59">
        <f>SUMIFS(원장!$H:$H,원장!$A:$A,증감분석!$B25,원장!$D:$D,증감분석!I$9,원장!$E:$E,증감분석!I$10)</f>
        <v>0</v>
      </c>
      <c r="J25" s="59">
        <f>SUMIFS(원장!$H:$H,원장!$A:$A,증감분석!$B25,원장!$D:$D,증감분석!J$9,원장!$E:$E,증감분석!J$10)</f>
        <v>0</v>
      </c>
      <c r="K25" s="59">
        <f>SUMIFS(원장!$H:$H,원장!$A:$A,증감분석!$B25,원장!$D:$D,증감분석!K$9,원장!$E:$E,증감분석!K$10)</f>
        <v>0</v>
      </c>
      <c r="L25" s="59">
        <f t="shared" si="1"/>
        <v>0</v>
      </c>
      <c r="M25" s="59">
        <f t="shared" si="2"/>
        <v>0</v>
      </c>
      <c r="N25" s="59">
        <f>SUM($M$11:M25)</f>
        <v>0</v>
      </c>
      <c r="P25" s="55" t="str">
        <f t="shared" si="3"/>
        <v>25년 8월</v>
      </c>
      <c r="Q25" s="59">
        <f t="shared" si="4"/>
        <v>0</v>
      </c>
      <c r="R25" s="62">
        <f t="shared" si="5"/>
        <v>0</v>
      </c>
      <c r="S25" s="59">
        <f t="shared" si="6"/>
        <v>0</v>
      </c>
    </row>
    <row r="26" spans="2:19" ht="16.5" customHeight="1" x14ac:dyDescent="0.3">
      <c r="B26" s="55" t="s">
        <v>28</v>
      </c>
      <c r="C26" s="3">
        <f ca="1">IF($B26=참고!$D$5,1,C27+1)</f>
        <v>7</v>
      </c>
      <c r="D26" s="59">
        <f>SUMIFS(원장!$H:$H,원장!$A:$A,증감분석!$B26,원장!$D:$D,증감분석!D$9,원장!$E:$E,증감분석!D$10)</f>
        <v>0</v>
      </c>
      <c r="E26" s="59">
        <f>SUMIFS(원장!$H:$H,원장!$A:$A,증감분석!$B26,원장!$D:$D,증감분석!E$9,원장!$E:$E,증감분석!E$10)</f>
        <v>0</v>
      </c>
      <c r="F26" s="59">
        <f>SUMIFS(원장!$H:$H,원장!$A:$A,증감분석!$B26,원장!$D:$D,증감분석!F$9,원장!$E:$E,증감분석!F$10)</f>
        <v>0</v>
      </c>
      <c r="G26" s="59">
        <f t="shared" si="0"/>
        <v>0</v>
      </c>
      <c r="H26" s="59">
        <f>SUMIFS(원장!$H:$H,원장!$A:$A,증감분석!$B26,원장!$D:$D,증감분석!H$9,원장!$E:$E,증감분석!H$10)</f>
        <v>0</v>
      </c>
      <c r="I26" s="59">
        <f>SUMIFS(원장!$H:$H,원장!$A:$A,증감분석!$B26,원장!$D:$D,증감분석!I$9,원장!$E:$E,증감분석!I$10)</f>
        <v>0</v>
      </c>
      <c r="J26" s="59">
        <f>SUMIFS(원장!$H:$H,원장!$A:$A,증감분석!$B26,원장!$D:$D,증감분석!J$9,원장!$E:$E,증감분석!J$10)</f>
        <v>0</v>
      </c>
      <c r="K26" s="59">
        <f>SUMIFS(원장!$H:$H,원장!$A:$A,증감분석!$B26,원장!$D:$D,증감분석!K$9,원장!$E:$E,증감분석!K$10)</f>
        <v>0</v>
      </c>
      <c r="L26" s="59">
        <f t="shared" si="1"/>
        <v>0</v>
      </c>
      <c r="M26" s="59">
        <f t="shared" si="2"/>
        <v>0</v>
      </c>
      <c r="N26" s="59">
        <f>SUM($M$11:M26)</f>
        <v>0</v>
      </c>
      <c r="P26" s="55" t="str">
        <f t="shared" si="3"/>
        <v>25년 9월</v>
      </c>
      <c r="Q26" s="59">
        <f t="shared" si="4"/>
        <v>0</v>
      </c>
      <c r="R26" s="62">
        <f t="shared" si="5"/>
        <v>0</v>
      </c>
      <c r="S26" s="59">
        <f t="shared" si="6"/>
        <v>0</v>
      </c>
    </row>
    <row r="27" spans="2:19" ht="16.5" customHeight="1" x14ac:dyDescent="0.3">
      <c r="B27" s="55" t="s">
        <v>29</v>
      </c>
      <c r="C27" s="3">
        <f ca="1">IF($B27=참고!$D$5,1,C28+1)</f>
        <v>6</v>
      </c>
      <c r="D27" s="59">
        <f>SUMIFS(원장!$H:$H,원장!$A:$A,증감분석!$B27,원장!$D:$D,증감분석!D$9,원장!$E:$E,증감분석!D$10)</f>
        <v>0</v>
      </c>
      <c r="E27" s="59">
        <f>SUMIFS(원장!$H:$H,원장!$A:$A,증감분석!$B27,원장!$D:$D,증감분석!E$9,원장!$E:$E,증감분석!E$10)</f>
        <v>0</v>
      </c>
      <c r="F27" s="59">
        <f>SUMIFS(원장!$H:$H,원장!$A:$A,증감분석!$B27,원장!$D:$D,증감분석!F$9,원장!$E:$E,증감분석!F$10)</f>
        <v>0</v>
      </c>
      <c r="G27" s="59">
        <f t="shared" si="0"/>
        <v>0</v>
      </c>
      <c r="H27" s="59">
        <f>SUMIFS(원장!$H:$H,원장!$A:$A,증감분석!$B27,원장!$D:$D,증감분석!H$9,원장!$E:$E,증감분석!H$10)</f>
        <v>0</v>
      </c>
      <c r="I27" s="59">
        <f>SUMIFS(원장!$H:$H,원장!$A:$A,증감분석!$B27,원장!$D:$D,증감분석!I$9,원장!$E:$E,증감분석!I$10)</f>
        <v>0</v>
      </c>
      <c r="J27" s="59">
        <f>SUMIFS(원장!$H:$H,원장!$A:$A,증감분석!$B27,원장!$D:$D,증감분석!J$9,원장!$E:$E,증감분석!J$10)</f>
        <v>0</v>
      </c>
      <c r="K27" s="59">
        <f>SUMIFS(원장!$H:$H,원장!$A:$A,증감분석!$B27,원장!$D:$D,증감분석!K$9,원장!$E:$E,증감분석!K$10)</f>
        <v>0</v>
      </c>
      <c r="L27" s="59">
        <f t="shared" si="1"/>
        <v>0</v>
      </c>
      <c r="M27" s="59">
        <f t="shared" si="2"/>
        <v>0</v>
      </c>
      <c r="N27" s="59">
        <f>SUM($M$11:M27)</f>
        <v>0</v>
      </c>
      <c r="P27" s="55" t="str">
        <f t="shared" si="3"/>
        <v>25년 10월</v>
      </c>
      <c r="Q27" s="59">
        <f t="shared" si="4"/>
        <v>0</v>
      </c>
      <c r="R27" s="62">
        <f t="shared" si="5"/>
        <v>0</v>
      </c>
      <c r="S27" s="59">
        <f t="shared" si="6"/>
        <v>0</v>
      </c>
    </row>
    <row r="28" spans="2:19" ht="16.5" customHeight="1" x14ac:dyDescent="0.3">
      <c r="B28" s="55" t="s">
        <v>30</v>
      </c>
      <c r="C28" s="3">
        <f ca="1">IF($B28=참고!$D$5,1,C29+1)</f>
        <v>5</v>
      </c>
      <c r="D28" s="59">
        <f>SUMIFS(원장!$H:$H,원장!$A:$A,증감분석!$B28,원장!$D:$D,증감분석!D$9,원장!$E:$E,증감분석!D$10)</f>
        <v>0</v>
      </c>
      <c r="E28" s="59">
        <f>SUMIFS(원장!$H:$H,원장!$A:$A,증감분석!$B28,원장!$D:$D,증감분석!E$9,원장!$E:$E,증감분석!E$10)</f>
        <v>0</v>
      </c>
      <c r="F28" s="59">
        <f>SUMIFS(원장!$H:$H,원장!$A:$A,증감분석!$B28,원장!$D:$D,증감분석!F$9,원장!$E:$E,증감분석!F$10)</f>
        <v>0</v>
      </c>
      <c r="G28" s="59">
        <f t="shared" si="0"/>
        <v>0</v>
      </c>
      <c r="H28" s="59">
        <f>SUMIFS(원장!$H:$H,원장!$A:$A,증감분석!$B28,원장!$D:$D,증감분석!H$9,원장!$E:$E,증감분석!H$10)</f>
        <v>0</v>
      </c>
      <c r="I28" s="59">
        <f>SUMIFS(원장!$H:$H,원장!$A:$A,증감분석!$B28,원장!$D:$D,증감분석!I$9,원장!$E:$E,증감분석!I$10)</f>
        <v>0</v>
      </c>
      <c r="J28" s="59">
        <f>SUMIFS(원장!$H:$H,원장!$A:$A,증감분석!$B28,원장!$D:$D,증감분석!J$9,원장!$E:$E,증감분석!J$10)</f>
        <v>0</v>
      </c>
      <c r="K28" s="59">
        <f>SUMIFS(원장!$H:$H,원장!$A:$A,증감분석!$B28,원장!$D:$D,증감분석!K$9,원장!$E:$E,증감분석!K$10)</f>
        <v>0</v>
      </c>
      <c r="L28" s="59">
        <f t="shared" si="1"/>
        <v>0</v>
      </c>
      <c r="M28" s="59">
        <f t="shared" si="2"/>
        <v>0</v>
      </c>
      <c r="N28" s="59">
        <f>SUM($M$11:M28)</f>
        <v>0</v>
      </c>
      <c r="P28" s="55" t="str">
        <f t="shared" si="3"/>
        <v>25년 11월</v>
      </c>
      <c r="Q28" s="59">
        <f t="shared" si="4"/>
        <v>0</v>
      </c>
      <c r="R28" s="62">
        <f t="shared" si="5"/>
        <v>0</v>
      </c>
      <c r="S28" s="59">
        <f t="shared" si="6"/>
        <v>0</v>
      </c>
    </row>
    <row r="29" spans="2:19" ht="16.5" customHeight="1" x14ac:dyDescent="0.3">
      <c r="B29" s="55" t="s">
        <v>31</v>
      </c>
      <c r="C29" s="3">
        <f ca="1">IF($B29=참고!$D$5,1,C30+1)</f>
        <v>4</v>
      </c>
      <c r="D29" s="59">
        <f>SUMIFS(원장!$H:$H,원장!$A:$A,증감분석!$B29,원장!$D:$D,증감분석!D$9,원장!$E:$E,증감분석!D$10)</f>
        <v>0</v>
      </c>
      <c r="E29" s="59">
        <f>SUMIFS(원장!$H:$H,원장!$A:$A,증감분석!$B29,원장!$D:$D,증감분석!E$9,원장!$E:$E,증감분석!E$10)</f>
        <v>0</v>
      </c>
      <c r="F29" s="59">
        <f>SUMIFS(원장!$H:$H,원장!$A:$A,증감분석!$B29,원장!$D:$D,증감분석!F$9,원장!$E:$E,증감분석!F$10)</f>
        <v>0</v>
      </c>
      <c r="G29" s="59">
        <f t="shared" si="0"/>
        <v>0</v>
      </c>
      <c r="H29" s="59">
        <f>SUMIFS(원장!$H:$H,원장!$A:$A,증감분석!$B29,원장!$D:$D,증감분석!H$9,원장!$E:$E,증감분석!H$10)</f>
        <v>0</v>
      </c>
      <c r="I29" s="59">
        <f>SUMIFS(원장!$H:$H,원장!$A:$A,증감분석!$B29,원장!$D:$D,증감분석!I$9,원장!$E:$E,증감분석!I$10)</f>
        <v>0</v>
      </c>
      <c r="J29" s="59">
        <f>SUMIFS(원장!$H:$H,원장!$A:$A,증감분석!$B29,원장!$D:$D,증감분석!J$9,원장!$E:$E,증감분석!J$10)</f>
        <v>0</v>
      </c>
      <c r="K29" s="59">
        <f>SUMIFS(원장!$H:$H,원장!$A:$A,증감분석!$B29,원장!$D:$D,증감분석!K$9,원장!$E:$E,증감분석!K$10)</f>
        <v>0</v>
      </c>
      <c r="L29" s="59">
        <f t="shared" si="1"/>
        <v>0</v>
      </c>
      <c r="M29" s="59">
        <f t="shared" si="2"/>
        <v>0</v>
      </c>
      <c r="N29" s="59">
        <f>SUM($M$11:M29)</f>
        <v>0</v>
      </c>
      <c r="P29" s="55" t="str">
        <f t="shared" si="3"/>
        <v>25년 12월</v>
      </c>
      <c r="Q29" s="59">
        <f t="shared" si="4"/>
        <v>0</v>
      </c>
      <c r="R29" s="62">
        <f t="shared" si="5"/>
        <v>0</v>
      </c>
      <c r="S29" s="59">
        <f t="shared" si="6"/>
        <v>0</v>
      </c>
    </row>
    <row r="30" spans="2:19" ht="16.5" customHeight="1" x14ac:dyDescent="0.3">
      <c r="B30" s="55" t="s">
        <v>32</v>
      </c>
      <c r="C30" s="3">
        <f ca="1">IF($B30=참고!$D$5,1,C31+1)</f>
        <v>3</v>
      </c>
      <c r="D30" s="59">
        <f>SUMIFS(원장!$H:$H,원장!$A:$A,증감분석!$B30,원장!$D:$D,증감분석!D$9,원장!$E:$E,증감분석!D$10)</f>
        <v>0</v>
      </c>
      <c r="E30" s="59">
        <f>SUMIFS(원장!$H:$H,원장!$A:$A,증감분석!$B30,원장!$D:$D,증감분석!E$9,원장!$E:$E,증감분석!E$10)</f>
        <v>0</v>
      </c>
      <c r="F30" s="59">
        <f>SUMIFS(원장!$H:$H,원장!$A:$A,증감분석!$B30,원장!$D:$D,증감분석!F$9,원장!$E:$E,증감분석!F$10)</f>
        <v>0</v>
      </c>
      <c r="G30" s="59">
        <f t="shared" si="0"/>
        <v>0</v>
      </c>
      <c r="H30" s="59">
        <f>SUMIFS(원장!$H:$H,원장!$A:$A,증감분석!$B30,원장!$D:$D,증감분석!H$9,원장!$E:$E,증감분석!H$10)</f>
        <v>0</v>
      </c>
      <c r="I30" s="59">
        <f>SUMIFS(원장!$H:$H,원장!$A:$A,증감분석!$B30,원장!$D:$D,증감분석!I$9,원장!$E:$E,증감분석!I$10)</f>
        <v>0</v>
      </c>
      <c r="J30" s="59">
        <f>SUMIFS(원장!$H:$H,원장!$A:$A,증감분석!$B30,원장!$D:$D,증감분석!J$9,원장!$E:$E,증감분석!J$10)</f>
        <v>0</v>
      </c>
      <c r="K30" s="59">
        <f>SUMIFS(원장!$H:$H,원장!$A:$A,증감분석!$B30,원장!$D:$D,증감분석!K$9,원장!$E:$E,증감분석!K$10)</f>
        <v>0</v>
      </c>
      <c r="L30" s="59">
        <f t="shared" si="1"/>
        <v>0</v>
      </c>
      <c r="M30" s="59">
        <f t="shared" si="2"/>
        <v>0</v>
      </c>
      <c r="N30" s="59">
        <f>SUM($M$11:M30)</f>
        <v>0</v>
      </c>
      <c r="P30" s="55" t="str">
        <f t="shared" si="3"/>
        <v>26년 1월</v>
      </c>
      <c r="Q30" s="59">
        <f t="shared" si="4"/>
        <v>0</v>
      </c>
      <c r="R30" s="62">
        <f t="shared" si="5"/>
        <v>0</v>
      </c>
      <c r="S30" s="59">
        <f t="shared" si="6"/>
        <v>0</v>
      </c>
    </row>
    <row r="31" spans="2:19" ht="16.5" customHeight="1" x14ac:dyDescent="0.3">
      <c r="B31" s="55" t="s">
        <v>33</v>
      </c>
      <c r="C31" s="3">
        <f ca="1">IF($B31=참고!$D$5,1,C32+1)</f>
        <v>2</v>
      </c>
      <c r="D31" s="59">
        <f>SUMIFS(원장!$H:$H,원장!$A:$A,증감분석!$B31,원장!$D:$D,증감분석!D$9,원장!$E:$E,증감분석!D$10)</f>
        <v>0</v>
      </c>
      <c r="E31" s="59">
        <f>SUMIFS(원장!$H:$H,원장!$A:$A,증감분석!$B31,원장!$D:$D,증감분석!E$9,원장!$E:$E,증감분석!E$10)</f>
        <v>0</v>
      </c>
      <c r="F31" s="59">
        <f>SUMIFS(원장!$H:$H,원장!$A:$A,증감분석!$B31,원장!$D:$D,증감분석!F$9,원장!$E:$E,증감분석!F$10)</f>
        <v>0</v>
      </c>
      <c r="G31" s="59">
        <f t="shared" si="0"/>
        <v>0</v>
      </c>
      <c r="H31" s="59">
        <f>SUMIFS(원장!$H:$H,원장!$A:$A,증감분석!$B31,원장!$D:$D,증감분석!H$9,원장!$E:$E,증감분석!H$10)</f>
        <v>0</v>
      </c>
      <c r="I31" s="59">
        <f>SUMIFS(원장!$H:$H,원장!$A:$A,증감분석!$B31,원장!$D:$D,증감분석!I$9,원장!$E:$E,증감분석!I$10)</f>
        <v>0</v>
      </c>
      <c r="J31" s="59">
        <f>SUMIFS(원장!$H:$H,원장!$A:$A,증감분석!$B31,원장!$D:$D,증감분석!J$9,원장!$E:$E,증감분석!J$10)</f>
        <v>0</v>
      </c>
      <c r="K31" s="59">
        <f>SUMIFS(원장!$H:$H,원장!$A:$A,증감분석!$B31,원장!$D:$D,증감분석!K$9,원장!$E:$E,증감분석!K$10)</f>
        <v>0</v>
      </c>
      <c r="L31" s="59">
        <f t="shared" si="1"/>
        <v>0</v>
      </c>
      <c r="M31" s="59">
        <f t="shared" si="2"/>
        <v>0</v>
      </c>
      <c r="N31" s="59">
        <f>SUM($M$11:M31)</f>
        <v>0</v>
      </c>
      <c r="P31" s="55" t="str">
        <f t="shared" si="3"/>
        <v>26년 2월</v>
      </c>
      <c r="Q31" s="59">
        <f t="shared" si="4"/>
        <v>0</v>
      </c>
      <c r="R31" s="62">
        <f t="shared" si="5"/>
        <v>0</v>
      </c>
      <c r="S31" s="59">
        <f t="shared" si="6"/>
        <v>0</v>
      </c>
    </row>
    <row r="32" spans="2:19" ht="16.5" customHeight="1" x14ac:dyDescent="0.3">
      <c r="B32" s="55" t="s">
        <v>34</v>
      </c>
      <c r="C32" s="3">
        <f ca="1">IF($B32=참고!$D$5,1,C33+1)</f>
        <v>1</v>
      </c>
      <c r="D32" s="59">
        <f>SUMIFS(원장!$H:$H,원장!$A:$A,증감분석!$B32,원장!$D:$D,증감분석!D$9,원장!$E:$E,증감분석!D$10)</f>
        <v>0</v>
      </c>
      <c r="E32" s="59">
        <f>SUMIFS(원장!$H:$H,원장!$A:$A,증감분석!$B32,원장!$D:$D,증감분석!E$9,원장!$E:$E,증감분석!E$10)</f>
        <v>0</v>
      </c>
      <c r="F32" s="59">
        <f>SUMIFS(원장!$H:$H,원장!$A:$A,증감분석!$B32,원장!$D:$D,증감분석!F$9,원장!$E:$E,증감분석!F$10)</f>
        <v>0</v>
      </c>
      <c r="G32" s="59">
        <f t="shared" si="0"/>
        <v>0</v>
      </c>
      <c r="H32" s="59">
        <f>SUMIFS(원장!$H:$H,원장!$A:$A,증감분석!$B32,원장!$D:$D,증감분석!H$9,원장!$E:$E,증감분석!H$10)</f>
        <v>0</v>
      </c>
      <c r="I32" s="59">
        <f>SUMIFS(원장!$H:$H,원장!$A:$A,증감분석!$B32,원장!$D:$D,증감분석!I$9,원장!$E:$E,증감분석!I$10)</f>
        <v>0</v>
      </c>
      <c r="J32" s="59">
        <f>SUMIFS(원장!$H:$H,원장!$A:$A,증감분석!$B32,원장!$D:$D,증감분석!J$9,원장!$E:$E,증감분석!J$10)</f>
        <v>0</v>
      </c>
      <c r="K32" s="59">
        <f>SUMIFS(원장!$H:$H,원장!$A:$A,증감분석!$B32,원장!$D:$D,증감분석!K$9,원장!$E:$E,증감분석!K$10)</f>
        <v>0</v>
      </c>
      <c r="L32" s="59">
        <f t="shared" si="1"/>
        <v>0</v>
      </c>
      <c r="M32" s="59">
        <f t="shared" si="2"/>
        <v>0</v>
      </c>
      <c r="N32" s="59">
        <f>SUM($M$11:M32)</f>
        <v>0</v>
      </c>
      <c r="P32" s="55" t="str">
        <f t="shared" si="3"/>
        <v>26년 3월</v>
      </c>
      <c r="Q32" s="59">
        <f t="shared" si="4"/>
        <v>0</v>
      </c>
      <c r="R32" s="62">
        <f t="shared" si="5"/>
        <v>0</v>
      </c>
      <c r="S32" s="59">
        <f t="shared" si="6"/>
        <v>0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="70" zoomScaleNormal="70" workbookViewId="0">
      <selection activeCell="AD22" sqref="AD22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"/>
  <sheetViews>
    <sheetView workbookViewId="0">
      <selection activeCell="C2" sqref="C2"/>
    </sheetView>
  </sheetViews>
  <sheetFormatPr defaultRowHeight="16.5" x14ac:dyDescent="0.3"/>
  <cols>
    <col min="1" max="1" width="10.875" style="97" bestFit="1" customWidth="1"/>
  </cols>
  <sheetData>
    <row r="1" spans="1:15" x14ac:dyDescent="0.3">
      <c r="A1" s="67">
        <f ca="1">TODAY()</f>
        <v>46176</v>
      </c>
      <c r="B1" s="66">
        <f ca="1">YEAR(A1)</f>
        <v>2026</v>
      </c>
      <c r="C1" s="66">
        <f ca="1">MONTH(A1)</f>
        <v>6</v>
      </c>
      <c r="D1" s="66">
        <f t="shared" ref="D1:O1" ca="1" si="0">IF(C1-1=0,12,C1-1)</f>
        <v>5</v>
      </c>
      <c r="E1" s="66">
        <f t="shared" ca="1" si="0"/>
        <v>4</v>
      </c>
      <c r="F1" s="66">
        <f t="shared" ca="1" si="0"/>
        <v>3</v>
      </c>
      <c r="G1" s="66">
        <f t="shared" ca="1" si="0"/>
        <v>2</v>
      </c>
      <c r="H1" s="66">
        <f t="shared" ca="1" si="0"/>
        <v>1</v>
      </c>
      <c r="I1" s="66">
        <f t="shared" ca="1" si="0"/>
        <v>12</v>
      </c>
      <c r="J1" s="66">
        <f t="shared" ca="1" si="0"/>
        <v>11</v>
      </c>
      <c r="K1" s="66">
        <f t="shared" ca="1" si="0"/>
        <v>10</v>
      </c>
      <c r="L1" s="66">
        <f t="shared" ca="1" si="0"/>
        <v>9</v>
      </c>
      <c r="M1" s="66">
        <f t="shared" ca="1" si="0"/>
        <v>8</v>
      </c>
      <c r="N1" s="66">
        <f t="shared" ca="1" si="0"/>
        <v>7</v>
      </c>
      <c r="O1" s="66">
        <f t="shared" ca="1" si="0"/>
        <v>6</v>
      </c>
    </row>
    <row r="2" spans="1:15" x14ac:dyDescent="0.3">
      <c r="B2" s="66" t="str">
        <f ca="1">RIGHT(B1,2)</f>
        <v>26</v>
      </c>
      <c r="C2" s="66">
        <f ca="1">B2-1</f>
        <v>25</v>
      </c>
    </row>
    <row r="3" spans="1:15" x14ac:dyDescent="0.3">
      <c r="B3" s="66" t="str">
        <f ca="1">B2&amp;"년"</f>
        <v>26년</v>
      </c>
      <c r="C3" s="66" t="str">
        <f ca="1">C2&amp;"년"</f>
        <v>25년</v>
      </c>
    </row>
    <row r="4" spans="1:15" x14ac:dyDescent="0.3">
      <c r="D4" s="66" t="str">
        <f t="shared" ref="D4:O4" ca="1" si="1">D1&amp;"월"</f>
        <v>5월</v>
      </c>
      <c r="E4" s="66" t="str">
        <f t="shared" ca="1" si="1"/>
        <v>4월</v>
      </c>
      <c r="F4" s="66" t="str">
        <f t="shared" ca="1" si="1"/>
        <v>3월</v>
      </c>
      <c r="G4" s="66" t="str">
        <f t="shared" ca="1" si="1"/>
        <v>2월</v>
      </c>
      <c r="H4" s="66" t="str">
        <f t="shared" ca="1" si="1"/>
        <v>1월</v>
      </c>
      <c r="I4" s="66" t="str">
        <f t="shared" ca="1" si="1"/>
        <v>12월</v>
      </c>
      <c r="J4" s="66" t="str">
        <f t="shared" ca="1" si="1"/>
        <v>11월</v>
      </c>
      <c r="K4" s="66" t="str">
        <f t="shared" ca="1" si="1"/>
        <v>10월</v>
      </c>
      <c r="L4" s="66" t="str">
        <f t="shared" ca="1" si="1"/>
        <v>9월</v>
      </c>
      <c r="M4" s="66" t="str">
        <f t="shared" ca="1" si="1"/>
        <v>8월</v>
      </c>
      <c r="N4" s="66" t="str">
        <f t="shared" ca="1" si="1"/>
        <v>7월</v>
      </c>
      <c r="O4" s="66" t="str">
        <f t="shared" ca="1" si="1"/>
        <v>6월</v>
      </c>
    </row>
    <row r="5" spans="1:15" x14ac:dyDescent="0.3">
      <c r="D5" s="66" t="str">
        <f t="shared" ref="D5:O5" ca="1" si="2">IF(D1&gt;=$C$1,$C$3&amp;" "&amp;D4,$B$3&amp;" "&amp;D4)</f>
        <v>26년 5월</v>
      </c>
      <c r="E5" s="66" t="str">
        <f t="shared" ca="1" si="2"/>
        <v>26년 4월</v>
      </c>
      <c r="F5" s="66" t="str">
        <f t="shared" ca="1" si="2"/>
        <v>26년 3월</v>
      </c>
      <c r="G5" s="66" t="str">
        <f t="shared" ca="1" si="2"/>
        <v>26년 2월</v>
      </c>
      <c r="H5" s="66" t="str">
        <f t="shared" ca="1" si="2"/>
        <v>26년 1월</v>
      </c>
      <c r="I5" s="66" t="str">
        <f t="shared" ca="1" si="2"/>
        <v>25년 12월</v>
      </c>
      <c r="J5" s="66" t="str">
        <f t="shared" ca="1" si="2"/>
        <v>25년 11월</v>
      </c>
      <c r="K5" s="66" t="str">
        <f t="shared" ca="1" si="2"/>
        <v>25년 10월</v>
      </c>
      <c r="L5" s="66" t="str">
        <f t="shared" ca="1" si="2"/>
        <v>25년 9월</v>
      </c>
      <c r="M5" s="66" t="str">
        <f t="shared" ca="1" si="2"/>
        <v>25년 8월</v>
      </c>
      <c r="N5" s="66" t="str">
        <f t="shared" ca="1" si="2"/>
        <v>25년 7월</v>
      </c>
      <c r="O5" s="66" t="str">
        <f t="shared" ca="1" si="2"/>
        <v>25년 6월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M16"/>
  <sheetViews>
    <sheetView showGridLines="0" zoomScale="115" zoomScaleNormal="115" workbookViewId="0">
      <selection activeCell="G14" sqref="G14"/>
    </sheetView>
  </sheetViews>
  <sheetFormatPr defaultRowHeight="16.5" x14ac:dyDescent="0.3"/>
  <cols>
    <col min="1" max="2" width="7.5" style="97" customWidth="1"/>
    <col min="3" max="4" width="6.625" style="97" customWidth="1"/>
    <col min="5" max="9" width="13.375" style="53" customWidth="1"/>
    <col min="10" max="11" width="13.375" style="97" customWidth="1"/>
    <col min="12" max="13" width="6.625" style="97" customWidth="1"/>
  </cols>
  <sheetData>
    <row r="5" spans="3:13" x14ac:dyDescent="0.3">
      <c r="C5" s="82"/>
      <c r="D5" s="83"/>
      <c r="E5" s="84"/>
      <c r="F5" s="84"/>
      <c r="G5" s="84"/>
      <c r="H5" s="84"/>
      <c r="I5" s="84"/>
      <c r="J5" s="83"/>
      <c r="K5" s="83"/>
      <c r="L5" s="83"/>
      <c r="M5" s="85"/>
    </row>
    <row r="6" spans="3:13" x14ac:dyDescent="0.3">
      <c r="C6" s="86"/>
      <c r="M6" s="87"/>
    </row>
    <row r="7" spans="3:13" x14ac:dyDescent="0.3">
      <c r="C7" s="86"/>
      <c r="M7" s="87"/>
    </row>
    <row r="8" spans="3:13" ht="17.25" customHeight="1" thickBot="1" x14ac:dyDescent="0.35">
      <c r="C8" s="86"/>
      <c r="M8" s="87"/>
    </row>
    <row r="9" spans="3:13" x14ac:dyDescent="0.3">
      <c r="C9" s="86"/>
      <c r="E9" s="75" t="s">
        <v>42</v>
      </c>
      <c r="F9" s="92" t="str">
        <f ca="1">회비입출내역!F1</f>
        <v>26년 5월</v>
      </c>
      <c r="G9" s="79" t="str">
        <f ca="1">회비입출내역!$C$1</f>
        <v>26년 4월</v>
      </c>
      <c r="H9" s="79" t="str">
        <f>증감분석!B5</f>
        <v>최근3개월평균</v>
      </c>
      <c r="I9" s="79" t="str">
        <f>증감분석!B6</f>
        <v>최근6개월평균</v>
      </c>
      <c r="J9" s="1" t="str">
        <f>증감분석!$B$7</f>
        <v>최근12개월평균</v>
      </c>
      <c r="K9" s="1" t="s">
        <v>43</v>
      </c>
      <c r="M9" s="87"/>
    </row>
    <row r="10" spans="3:13" x14ac:dyDescent="0.3">
      <c r="C10" s="86"/>
      <c r="E10" s="76" t="s">
        <v>44</v>
      </c>
      <c r="F10" s="93">
        <f ca="1">회비입출내역!$G$4</f>
        <v>820027</v>
      </c>
      <c r="G10" s="80">
        <f ca="1">회비입출내역!$D$4</f>
        <v>0</v>
      </c>
      <c r="H10" s="73">
        <f ca="1">증감분석!$G$5</f>
        <v>0</v>
      </c>
      <c r="I10" s="73">
        <f ca="1">증감분석!$G$6</f>
        <v>0</v>
      </c>
      <c r="J10" s="73">
        <f ca="1">증감분석!$G$7</f>
        <v>0</v>
      </c>
      <c r="K10" s="72">
        <f>회비입출내역!$J$4</f>
        <v>1520027</v>
      </c>
      <c r="M10" s="87"/>
    </row>
    <row r="11" spans="3:13" x14ac:dyDescent="0.3">
      <c r="C11" s="86"/>
      <c r="E11" s="77" t="s">
        <v>45</v>
      </c>
      <c r="F11" s="94">
        <f ca="1">회비입출내역!$G$9</f>
        <v>-504900</v>
      </c>
      <c r="G11" s="81">
        <f ca="1">회비입출내역!$D$9</f>
        <v>0</v>
      </c>
      <c r="H11" s="59">
        <f ca="1">증감분석!$L$5</f>
        <v>0</v>
      </c>
      <c r="I11" s="59">
        <f ca="1">증감분석!$L$6</f>
        <v>0</v>
      </c>
      <c r="J11" s="59">
        <f ca="1">증감분석!$L$7</f>
        <v>0</v>
      </c>
      <c r="K11" s="74">
        <f>회비입출내역!$J$9</f>
        <v>-504900</v>
      </c>
      <c r="M11" s="87"/>
    </row>
    <row r="12" spans="3:13" ht="17.25" customHeight="1" thickBot="1" x14ac:dyDescent="0.35">
      <c r="C12" s="86"/>
      <c r="E12" s="78" t="s">
        <v>46</v>
      </c>
      <c r="F12" s="95">
        <f t="shared" ref="F12:K12" ca="1" si="0">SUM(F10:F11)</f>
        <v>315127</v>
      </c>
      <c r="G12" s="62">
        <f t="shared" ca="1" si="0"/>
        <v>0</v>
      </c>
      <c r="H12" s="62">
        <f t="shared" ca="1" si="0"/>
        <v>0</v>
      </c>
      <c r="I12" s="62">
        <f t="shared" ca="1" si="0"/>
        <v>0</v>
      </c>
      <c r="J12" s="62">
        <f t="shared" ca="1" si="0"/>
        <v>0</v>
      </c>
      <c r="K12" s="59">
        <f t="shared" si="0"/>
        <v>1015127</v>
      </c>
      <c r="M12" s="87"/>
    </row>
    <row r="13" spans="3:13" x14ac:dyDescent="0.3">
      <c r="C13" s="86"/>
      <c r="M13" s="87"/>
    </row>
    <row r="14" spans="3:13" x14ac:dyDescent="0.3">
      <c r="C14" s="86"/>
      <c r="M14" s="87"/>
    </row>
    <row r="15" spans="3:13" x14ac:dyDescent="0.3">
      <c r="C15" s="86"/>
      <c r="M15" s="87"/>
    </row>
    <row r="16" spans="3:13" x14ac:dyDescent="0.3">
      <c r="C16" s="88"/>
      <c r="D16" s="89"/>
      <c r="E16" s="90"/>
      <c r="F16" s="90"/>
      <c r="G16" s="90"/>
      <c r="H16" s="90"/>
      <c r="I16" s="90"/>
      <c r="J16" s="89"/>
      <c r="K16" s="89"/>
      <c r="L16" s="89"/>
      <c r="M16" s="9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>
      <selection activeCell="L6" sqref="L6"/>
    </sheetView>
  </sheetViews>
  <sheetFormatPr defaultRowHeight="16.5" x14ac:dyDescent="0.3"/>
  <cols>
    <col min="1" max="2" width="9.5" style="97" customWidth="1"/>
  </cols>
  <sheetData>
    <row r="1" spans="1:2" x14ac:dyDescent="0.3">
      <c r="A1" s="12" t="s">
        <v>82</v>
      </c>
      <c r="B1" s="12"/>
    </row>
    <row r="2" spans="1:2" x14ac:dyDescent="0.3">
      <c r="A2" s="2" t="s">
        <v>83</v>
      </c>
      <c r="B2" s="2" t="s">
        <v>61</v>
      </c>
    </row>
    <row r="3" spans="1:2" x14ac:dyDescent="0.3">
      <c r="A3" s="4">
        <v>1</v>
      </c>
      <c r="B3" s="4" t="s">
        <v>84</v>
      </c>
    </row>
    <row r="4" spans="1:2" x14ac:dyDescent="0.3">
      <c r="A4" s="4">
        <v>2</v>
      </c>
      <c r="B4" s="4" t="s">
        <v>85</v>
      </c>
    </row>
    <row r="5" spans="1:2" x14ac:dyDescent="0.3">
      <c r="A5" s="4">
        <v>3</v>
      </c>
      <c r="B5" s="4" t="s">
        <v>86</v>
      </c>
    </row>
    <row r="6" spans="1:2" x14ac:dyDescent="0.3">
      <c r="A6" s="4">
        <v>4</v>
      </c>
      <c r="B6" s="4" t="s">
        <v>87</v>
      </c>
    </row>
    <row r="7" spans="1:2" x14ac:dyDescent="0.3">
      <c r="A7" s="4">
        <v>5</v>
      </c>
      <c r="B7" s="4" t="s">
        <v>88</v>
      </c>
    </row>
    <row r="8" spans="1:2" x14ac:dyDescent="0.3">
      <c r="A8" s="4">
        <v>6</v>
      </c>
      <c r="B8" s="4" t="s">
        <v>89</v>
      </c>
    </row>
    <row r="9" spans="1:2" x14ac:dyDescent="0.3">
      <c r="A9" s="4">
        <v>7</v>
      </c>
      <c r="B9" s="4" t="s">
        <v>90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입금현황</vt:lpstr>
      <vt:lpstr>회비입출내역</vt:lpstr>
      <vt:lpstr>원장</vt:lpstr>
      <vt:lpstr>증감분석</vt:lpstr>
      <vt:lpstr>증감분석차트</vt:lpstr>
      <vt:lpstr>참고</vt:lpstr>
      <vt:lpstr>주요정보</vt:lpstr>
      <vt:lpstr>참조</vt:lpstr>
      <vt:lpstr>회비입출내역!Print_Area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지엽 옥</dc:creator>
  <cp:lastModifiedBy>지엽 옥</cp:lastModifiedBy>
  <cp:lastPrinted>2026-02-01T17:37:22Z</cp:lastPrinted>
  <dcterms:created xsi:type="dcterms:W3CDTF">2024-12-01T00:42:40Z</dcterms:created>
  <dcterms:modified xsi:type="dcterms:W3CDTF">2026-06-03T02:35:58Z</dcterms:modified>
</cp:coreProperties>
</file>